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1" activeTab="1"/>
  </bookViews>
  <sheets>
    <sheet name="raw_data" sheetId="1" state="hidden" r:id="rId1"/>
    <sheet name="Cleaned_data" sheetId="4" r:id="rId2"/>
    <sheet name="pivot_tables" sheetId="8" state="hidden" r:id="rId3"/>
    <sheet name="Dashboard" sheetId="10" r:id="rId4"/>
    <sheet name="Cleaning_process" sheetId="3" state="hidden" r:id="rId5"/>
  </sheets>
  <definedNames>
    <definedName name="Slicer__Category">#N/A</definedName>
    <definedName name="Slicer_Payment_Method">#N/A</definedName>
    <definedName name="Slicer_Status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<sst xmlns="http://schemas.openxmlformats.org/spreadsheetml/2006/main" count="1770" uniqueCount="328">
  <si>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</si>
  <si>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</si>
  <si>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</si>
  <si>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</si>
  <si>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</si>
  <si>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</si>
  <si>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</si>
  <si>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</si>
  <si>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</si>
  <si>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</si>
  <si>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</si>
  <si>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</si>
  <si>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</si>
  <si>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</si>
  <si>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</si>
  <si>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</si>
  <si>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</si>
  <si>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</si>
  <si>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</si>
  <si>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</si>
  <si>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</si>
  <si>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</si>
  <si>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</si>
  <si>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</si>
  <si>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</si>
  <si>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</si>
  <si>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</si>
  <si>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</si>
  <si>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</si>
  <si>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</si>
  <si>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</si>
  <si>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</si>
  <si>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</si>
  <si>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</si>
  <si>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</si>
  <si>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</si>
  <si>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</si>
  <si>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</si>
  <si>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</si>
  <si>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</si>
  <si>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</si>
  <si>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</si>
  <si>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</si>
  <si>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</si>
  <si>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</si>
  <si>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</si>
  <si>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</si>
  <si>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</si>
  <si>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</si>
  <si>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</si>
  <si>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</si>
  <si>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</si>
  <si>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10/23/2025</t>
  </si>
  <si>
    <t>Customer_109</t>
  </si>
  <si>
    <t>ORD-18512</t>
  </si>
  <si>
    <t>Credit Card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</si>
  <si>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</si>
  <si>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</si>
  <si>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</si>
  <si>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</si>
  <si>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</si>
  <si>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</si>
  <si>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</si>
  <si>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</si>
  <si>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</si>
  <si>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</si>
  <si>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Customer_112</t>
  </si>
  <si>
    <t>ORD-80867</t>
  </si>
  <si>
    <t>Shoes</t>
  </si>
  <si>
    <t>Clothing</t>
  </si>
  <si>
    <t>Customer_113</t>
  </si>
  <si>
    <t>ORD-23994</t>
  </si>
  <si>
    <t>7/24/2025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</si>
  <si>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</si>
  <si>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</si>
  <si>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</si>
  <si>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</si>
  <si>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</si>
  <si>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</si>
  <si>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</si>
  <si>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</si>
  <si>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10/30/2025</t>
  </si>
  <si>
    <t>Microwave</t>
  </si>
  <si>
    <t>Customer_117</t>
  </si>
  <si>
    <t>ORD-72751</t>
  </si>
  <si>
    <t>electronic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</si>
  <si>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</si>
  <si>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</si>
  <si>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</si>
  <si>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</si>
  <si>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</si>
  <si>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</si>
  <si>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</si>
  <si>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</si>
  <si>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</si>
  <si>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</si>
  <si>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</si>
  <si>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</si>
  <si>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</si>
  <si>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</si>
  <si>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</si>
  <si>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</si>
  <si>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5/16/2025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</si>
  <si>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</si>
  <si>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</si>
  <si>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</si>
  <si>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</si>
  <si>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</si>
  <si>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</si>
  <si>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</si>
  <si>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</si>
  <si>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</si>
  <si>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5/18/2025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</si>
  <si>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</si>
  <si>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</si>
  <si>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</si>
  <si>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</si>
  <si>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</si>
  <si>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</si>
  <si>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</si>
  <si>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</si>
  <si>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</si>
  <si>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</si>
  <si>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</si>
  <si>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</si>
  <si>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</si>
  <si>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</si>
  <si>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</si>
  <si>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</si>
  <si>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</si>
  <si>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</si>
  <si>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</si>
  <si>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</si>
  <si>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</si>
  <si>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</si>
  <si>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</si>
  <si>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</si>
  <si>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</si>
  <si>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</si>
  <si>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</si>
  <si>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</si>
  <si>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</si>
  <si>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</si>
  <si>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2/23/2025</t>
  </si>
  <si>
    <t>Customer_138</t>
  </si>
  <si>
    <t>ORD-34319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</si>
  <si>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</si>
  <si>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</si>
  <si>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</si>
  <si>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</si>
  <si>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</si>
  <si>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</si>
  <si>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</si>
  <si>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</si>
  <si>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</si>
  <si>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</si>
  <si>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</si>
  <si>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</si>
  <si>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Customer_144</t>
  </si>
  <si>
    <t>ORD-89452</t>
  </si>
  <si>
    <t>1/27/2025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</si>
  <si>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</si>
  <si>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</si>
  <si>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</si>
  <si>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</si>
  <si>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</si>
  <si>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</si>
  <si>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</si>
  <si>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</si>
  <si>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</si>
  <si>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</si>
  <si>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</si>
  <si>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</si>
  <si>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</si>
  <si>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</si>
  <si>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</si>
  <si>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</si>
  <si>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</si>
  <si>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</si>
  <si>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</si>
  <si>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</si>
  <si>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</si>
  <si>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</si>
  <si>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</si>
  <si>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</si>
  <si>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</si>
  <si>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</si>
  <si>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</si>
  <si>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</si>
  <si>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</si>
  <si>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</si>
  <si>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</si>
  <si>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</si>
  <si>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</si>
  <si>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</si>
  <si>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</si>
  <si>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</si>
  <si>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</si>
  <si>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</si>
  <si>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</si>
  <si>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</si>
  <si>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</si>
  <si>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</si>
  <si>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</si>
  <si>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</si>
  <si>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</si>
  <si>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</si>
  <si>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</si>
  <si>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</si>
  <si>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</si>
  <si>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</si>
  <si>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</si>
  <si>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</si>
  <si>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</si>
  <si>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</si>
  <si>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</si>
  <si>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</si>
  <si>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</si>
  <si>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</si>
  <si>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</si>
  <si>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</si>
  <si>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</si>
  <si>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</si>
  <si>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</si>
  <si>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</si>
  <si>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</si>
  <si>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</si>
  <si>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</si>
  <si>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</si>
  <si>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</si>
  <si>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</si>
  <si>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</si>
  <si>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</si>
  <si>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</si>
  <si>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</si>
  <si>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</si>
  <si>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</si>
  <si>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</si>
  <si>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</si>
  <si>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</si>
  <si>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</si>
  <si>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</si>
  <si>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</si>
  <si>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</si>
  <si>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</si>
  <si>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</si>
  <si>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</si>
  <si>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</si>
  <si>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</si>
  <si>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</si>
  <si>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</si>
  <si>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</si>
  <si>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</si>
  <si>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</si>
  <si>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</si>
  <si>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</si>
  <si>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</si>
  <si>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</si>
  <si>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</si>
  <si>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Customer_183</t>
  </si>
  <si>
    <t>ORD-20916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</si>
  <si>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</si>
  <si>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</si>
  <si>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</si>
  <si>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</si>
  <si>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</si>
  <si>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</si>
  <si>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</si>
  <si>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</si>
  <si>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</si>
  <si>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</si>
  <si>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</si>
  <si>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</si>
  <si>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</si>
  <si>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</si>
  <si>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</si>
  <si>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</si>
  <si>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</si>
  <si>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</si>
  <si>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</si>
  <si>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</si>
  <si>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</si>
  <si>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</si>
  <si>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</si>
  <si>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</si>
  <si>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</si>
  <si>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</si>
  <si>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</si>
  <si>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</si>
  <si>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</si>
  <si>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</si>
  <si>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</si>
  <si>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</si>
  <si>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</si>
  <si>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</si>
  <si>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</si>
  <si>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</si>
  <si>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</si>
  <si>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</si>
  <si>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</si>
  <si>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</si>
  <si>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</si>
  <si>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</si>
  <si>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Sum of Total</t>
  </si>
  <si>
    <t>Count of Order_ID</t>
  </si>
  <si>
    <t>Grand Total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</si>
  <si>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</si>
  <si>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</si>
  <si>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</si>
  <si>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</si>
  <si>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</si>
  <si>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</si>
  <si>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</si>
  <si>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</si>
  <si>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</si>
  <si>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</si>
  <si>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</si>
  <si>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</si>
  <si>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</si>
  <si>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E-Commerce Sales Dashboard</t>
  </si>
  <si>
    <t>Total Sales</t>
  </si>
  <si>
    <t xml:space="preserve">Total Orders </t>
  </si>
  <si>
    <t>Avg Order Value</t>
  </si>
  <si>
    <t>Quantity Sold</t>
  </si>
  <si>
    <t>Check_total</t>
  </si>
  <si>
    <t>clean_qty</t>
  </si>
  <si>
    <t>clean_price</t>
  </si>
  <si>
    <t>clean_total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</si>
</sst>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2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3" borderId="0" xfId="0" applyFill="1">
      <alignment vertical="center"/>
    </xf>
    <xf numFmtId="0" fontId="0" fillId="0" borderId="0" xfId="0" applyAlignment="1">
      <alignment horizontal="center" vertical="top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181" formatCode="dd/mm/yyyy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80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00FFFFFF"/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pivot_tables!$A$4:$A$9</c:f>
              <c:strCache>
                <c:ptCount val="5"/>
                <c:pt idx="0">
                  <c:v>Electronics</c:v>
                </c:pt>
                <c:pt idx="1">
                  <c:v>Sports</c:v>
                </c:pt>
                <c:pt idx="2">
                  <c:v>Clothing</c:v>
                </c:pt>
                <c:pt idx="3">
                  <c:v>Books</c:v>
                </c:pt>
                <c:pt idx="4">
                  <c:v>Home</c:v>
                </c:pt>
              </c:strCache>
            </c:strRef>
          </c:cat>
          <c:val>
            <c:numRef>
              <c:f>pivot_tables!$B$4:$B$9</c:f>
              <c:numCache>
                <c:formatCode>General</c:formatCode>
                <c:ptCount val="5"/>
                <c:pt idx="0">
                  <c:v>12330.13</c:v>
                </c:pt>
                <c:pt idx="1">
                  <c:v>22913.79</c:v>
                </c:pt>
                <c:pt idx="2">
                  <c:v>31371.36</c:v>
                </c:pt>
                <c:pt idx="3">
                  <c:v>40073.31</c:v>
                </c:pt>
                <c:pt idx="4">
                  <c:v>51317.45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0240115"/>
        <c:axId val="695149831"/>
      </c:barChart>
      <c:catAx>
        <c:axId val="1202401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149831"/>
        <c:crosses val="autoZero"/>
        <c:auto val="1"/>
        <c:lblAlgn val="ctr"/>
        <c:lblOffset val="100"/>
        <c:noMultiLvlLbl val="0"/>
      </c:catAx>
      <c:valAx>
        <c:axId val="6951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2401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9014488-9134-49c2-b336-937ffb4d8b1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pivot_tables!$E$12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miter lim="800000"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pivot_tables!$D$13:$D$25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pivot_tables!$E$13:$E$25</c:f>
              <c:numCache>
                <c:formatCode>General</c:formatCode>
                <c:ptCount val="12"/>
                <c:pt idx="0">
                  <c:v>13383.47</c:v>
                </c:pt>
                <c:pt idx="1">
                  <c:v>39691.34</c:v>
                </c:pt>
                <c:pt idx="2">
                  <c:v>5675.86</c:v>
                </c:pt>
                <c:pt idx="3">
                  <c:v>1200.28</c:v>
                </c:pt>
                <c:pt idx="4">
                  <c:v>12681.01</c:v>
                </c:pt>
                <c:pt idx="5">
                  <c:v>17876.43</c:v>
                </c:pt>
                <c:pt idx="6">
                  <c:v>15092.8</c:v>
                </c:pt>
                <c:pt idx="7">
                  <c:v>5543.11</c:v>
                </c:pt>
                <c:pt idx="8">
                  <c:v>7471.68</c:v>
                </c:pt>
                <c:pt idx="9">
                  <c:v>18841</c:v>
                </c:pt>
                <c:pt idx="10">
                  <c:v>12706.73</c:v>
                </c:pt>
                <c:pt idx="11">
                  <c:v>7027.81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717482520"/>
        <c:axId val="224555022"/>
      </c:lineChart>
      <c:catAx>
        <c:axId val="717482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555022"/>
        <c:crosses val="autoZero"/>
        <c:auto val="1"/>
        <c:lblAlgn val="ctr"/>
        <c:lblOffset val="100"/>
        <c:noMultiLvlLbl val="0"/>
      </c:catAx>
      <c:valAx>
        <c:axId val="2245550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48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4c0413-6a48-47cb-9a91-84a7c134a78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pivot_tables!$A$13:$A$18</c:f>
              <c:strCache>
                <c:ptCount val="5"/>
                <c:pt idx="0">
                  <c:v>Biography</c:v>
                </c:pt>
                <c:pt idx="1">
                  <c:v>Lamp</c:v>
                </c:pt>
                <c:pt idx="2">
                  <c:v>Comics</c:v>
                </c:pt>
                <c:pt idx="3">
                  <c:v>Shoes</c:v>
                </c:pt>
                <c:pt idx="4">
                  <c:v>Blender</c:v>
                </c:pt>
              </c:strCache>
            </c:strRef>
          </c:cat>
          <c:val>
            <c:numRef>
              <c:f>pivot_tables!$B$13:$B$18</c:f>
              <c:numCache>
                <c:formatCode>General</c:formatCode>
                <c:ptCount val="5"/>
                <c:pt idx="0">
                  <c:v>9577.39</c:v>
                </c:pt>
                <c:pt idx="1">
                  <c:v>14306.44</c:v>
                </c:pt>
                <c:pt idx="2">
                  <c:v>14728.64</c:v>
                </c:pt>
                <c:pt idx="3">
                  <c:v>14728.67</c:v>
                </c:pt>
                <c:pt idx="4">
                  <c:v>28075.38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44603611"/>
        <c:axId val="699721226"/>
      </c:barChart>
      <c:catAx>
        <c:axId val="5446036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721226"/>
        <c:crosses val="autoZero"/>
        <c:auto val="1"/>
        <c:lblAlgn val="ctr"/>
        <c:lblOffset val="100"/>
        <c:noMultiLvlLbl val="0"/>
      </c:catAx>
      <c:valAx>
        <c:axId val="6997212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036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d3b6b7-048c-4700-9fc1-76c194ea998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pivot_tables!$G$4:$G$9</c:f>
              <c:strCache>
                <c:ptCount val="5"/>
                <c:pt idx="0">
                  <c:v>Delivered</c:v>
                </c:pt>
                <c:pt idx="1">
                  <c:v>Cancelled</c:v>
                </c:pt>
                <c:pt idx="2">
                  <c:v>Shipped</c:v>
                </c:pt>
                <c:pt idx="3">
                  <c:v>Processing</c:v>
                </c:pt>
                <c:pt idx="4">
                  <c:v>Returned</c:v>
                </c:pt>
              </c:strCache>
            </c:strRef>
          </c:cat>
          <c:val>
            <c:numRef>
              <c:f>pivot_tables!$H$4:$H$9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22</c:v>
                </c:pt>
                <c:pt idx="3">
                  <c:v>25</c:v>
                </c:pt>
                <c:pt idx="4">
                  <c:v>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bbfd6-cfd8-49a3-b14f-fc42f4ff7c8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9</xdr:row>
      <xdr:rowOff>0</xdr:rowOff>
    </xdr:from>
    <xdr:to>
      <xdr:col>6</xdr:col>
      <xdr:colOff>6350</xdr:colOff>
      <xdr:row>21</xdr:row>
      <xdr:rowOff>191135</xdr:rowOff>
    </xdr:to>
    <xdr:graphicFrame>
      <xdr:nvGraphicFramePr>
        <xdr:cNvPr id="2" name="Chart 1"/>
        <xdr:cNvGraphicFramePr/>
      </xdr:nvGraphicFramePr>
      <xdr:xfrm>
        <a:off x="9525" y="1714500"/>
        <a:ext cx="374967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9</xdr:row>
      <xdr:rowOff>9525</xdr:rowOff>
    </xdr:from>
    <xdr:to>
      <xdr:col>12</xdr:col>
      <xdr:colOff>53975</xdr:colOff>
      <xdr:row>21</xdr:row>
      <xdr:rowOff>104775</xdr:rowOff>
    </xdr:to>
    <xdr:graphicFrame>
      <xdr:nvGraphicFramePr>
        <xdr:cNvPr id="3" name="Chart 2"/>
        <xdr:cNvGraphicFramePr/>
      </xdr:nvGraphicFramePr>
      <xdr:xfrm>
        <a:off x="3810000" y="1724025"/>
        <a:ext cx="3654425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22</xdr:row>
      <xdr:rowOff>95250</xdr:rowOff>
    </xdr:from>
    <xdr:to>
      <xdr:col>6</xdr:col>
      <xdr:colOff>16510</xdr:colOff>
      <xdr:row>36</xdr:row>
      <xdr:rowOff>180975</xdr:rowOff>
    </xdr:to>
    <xdr:graphicFrame>
      <xdr:nvGraphicFramePr>
        <xdr:cNvPr id="4" name="Chart 3"/>
        <xdr:cNvGraphicFramePr/>
      </xdr:nvGraphicFramePr>
      <xdr:xfrm>
        <a:off x="9525" y="4286250"/>
        <a:ext cx="375983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82550</xdr:colOff>
      <xdr:row>22</xdr:row>
      <xdr:rowOff>123825</xdr:rowOff>
    </xdr:from>
    <xdr:to>
      <xdr:col>12</xdr:col>
      <xdr:colOff>13335</xdr:colOff>
      <xdr:row>36</xdr:row>
      <xdr:rowOff>57785</xdr:rowOff>
    </xdr:to>
    <xdr:graphicFrame>
      <xdr:nvGraphicFramePr>
        <xdr:cNvPr id="5" name="Chart 4"/>
        <xdr:cNvGraphicFramePr/>
      </xdr:nvGraphicFramePr>
      <xdr:xfrm>
        <a:off x="3835400" y="4314825"/>
        <a:ext cx="3588385" cy="26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85725</xdr:colOff>
      <xdr:row>9</xdr:row>
      <xdr:rowOff>63500</xdr:rowOff>
    </xdr:from>
    <xdr:to>
      <xdr:col>15</xdr:col>
      <xdr:colOff>552450</xdr:colOff>
      <xdr:row>14</xdr:row>
      <xdr:rowOff>181610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1778000"/>
              <a:ext cx="2295525" cy="1070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101600</xdr:colOff>
      <xdr:row>2</xdr:row>
      <xdr:rowOff>3175</xdr:rowOff>
    </xdr:from>
    <xdr:to>
      <xdr:col>15</xdr:col>
      <xdr:colOff>586740</xdr:colOff>
      <xdr:row>8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2050" y="384175"/>
              <a:ext cx="2313940" cy="1261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168275</xdr:colOff>
      <xdr:row>15</xdr:row>
      <xdr:rowOff>127000</xdr:rowOff>
    </xdr:from>
    <xdr:to>
      <xdr:col>15</xdr:col>
      <xdr:colOff>539750</xdr:colOff>
      <xdr:row>20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8725" y="2984500"/>
              <a:ext cx="2200275" cy="98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695486111" refreshedBy="karti" recordCount="100">
  <cacheSource type="worksheet">
    <worksheetSource name="sales_table3"/>
  </cacheSource>
  <cacheFields count="11">
    <cacheField name="ID" numFmtId="0">
      <sharedItems containsSemiMixedTypes="0" containsString="0" containsNumber="1" containsInteger="1" minValue="0" maxValue="199" count="100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</sharedItems>
    </cacheField>
    <cacheField name=" Customer_Name" numFmtId="0">
      <sharedItems count="100"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2"/>
        <s v="Customer_193"/>
        <s v="Customer_194"/>
        <s v="Customer_195"/>
        <s v="Customer_196"/>
        <s v="Customer_197"/>
        <s v="Customer_198"/>
        <s v="Customer_199"/>
      </sharedItems>
    </cacheField>
    <cacheField name="Order_ID" numFmtId="0">
      <sharedItems count="100">
        <s v="ORD-41285"/>
        <s v="ORD-35783"/>
        <s v="ORD-84355"/>
        <s v="ORD-57811"/>
        <s v="ORD-93614"/>
        <s v="ORD-22442"/>
        <s v="ORD-25885"/>
        <s v="ORD-89122"/>
        <s v="ORD-64400"/>
        <s v="ORD-18512"/>
        <s v="ORD-61020"/>
        <s v="ORD-72349"/>
        <s v="ORD-80867"/>
        <s v="ORD-23994"/>
        <s v="ORD-77417"/>
        <s v="ORD-72778"/>
        <s v="ORD-63660"/>
        <s v="ORD-72751"/>
        <s v="ORD-96061"/>
        <s v="ORD-76016"/>
        <s v="ORD-14659"/>
        <s v="ORD-80067"/>
        <s v="ORD-21443"/>
        <s v="ORD-11314"/>
        <s v="ORD-46136"/>
        <s v="ORD-23202"/>
        <s v="ORD-11261"/>
        <s v="ORD-65482"/>
        <s v="ORD-12270"/>
        <s v="ORD-48863"/>
        <s v="ORD-34007"/>
        <s v="ORD-91396"/>
        <s v="ORD-40186"/>
        <s v="ORD-68182"/>
        <s v="ORD-16585"/>
        <s v="ORD-33656"/>
        <s v="ORD-20985"/>
        <s v="ORD-91254"/>
        <s v="ORD-34319"/>
        <s v="ORD-38418"/>
        <s v="ORD-67096"/>
        <s v="ORD-45059"/>
        <s v="ORD-69018"/>
        <s v="ORD-14329"/>
        <s v="ORD-89452"/>
        <s v="ORD-75314"/>
        <s v="ORD-32755"/>
        <s v="ORD-80707"/>
        <s v="ORD-38423"/>
        <s v="ORD-95911"/>
        <s v="ORD-76902"/>
        <s v="ORD-56552"/>
        <s v="ORD-72869"/>
        <s v="ORD-29721"/>
        <s v="ORD-95990"/>
        <s v="ORD-20182"/>
        <s v="ORD-34679"/>
        <s v="ORD-34407"/>
        <s v="ORD-35817"/>
        <s v="ORD-98162"/>
        <s v="ORD-96037"/>
        <s v="ORD-27653"/>
        <s v="ORD-27743"/>
        <s v="ORD-24378"/>
        <s v="ORD-23010"/>
        <s v="ORD-55695"/>
        <s v="ORD-97756"/>
        <s v="ORD-30329"/>
        <s v="ORD-53430"/>
        <s v="ORD-75539"/>
        <s v="ORD-21530"/>
        <s v="ORD-99790"/>
        <s v="ORD-48008"/>
        <s v="ORD-42171"/>
        <s v="ORD-16766"/>
        <s v="ORD-56651"/>
        <s v="ORD-95794"/>
        <s v="ORD-64136"/>
        <s v="ORD-89906"/>
        <s v="ORD-99328"/>
        <s v="ORD-86629"/>
        <s v="ORD-54481"/>
        <s v="ORD-79672"/>
        <s v="ORD-20916"/>
        <s v="ORD-67799"/>
        <s v="ORD-57123"/>
        <s v="ORD-90569"/>
        <s v="ORD-41292"/>
        <s v="ORD-58590"/>
        <s v="ORD-30627"/>
        <s v="ORD-38469"/>
        <s v="ORD-41810"/>
        <s v="ORD-35144"/>
        <s v="ORD-42475"/>
        <s v="ORD-69764"/>
        <s v="ORD-82876"/>
        <s v="ORD-78384"/>
        <s v="ORD-79139"/>
        <s v="ORD-14608"/>
        <s v="ORD-82922"/>
      </sharedItems>
    </cacheField>
    <cacheField name="Order_Date" numFmtId="0">
      <sharedItems containsString="0" containsBlank="1" containsNonDate="0" containsDate="1" minDate="2023-01-05T00:00:00" maxDate="2025-11-06T00:00:00" count="85">
        <d v="2024-11-22T00:00:00"/>
        <d v="2025-07-05T00:00:00"/>
        <d v="2024-12-23T00:00:00"/>
        <d v="2025-03-19T00:00:00"/>
        <d v="2025-10-20T00:00:00"/>
        <d v="2024-11-20T00:00:00"/>
        <d v="2025-02-02T00:00:00"/>
        <d v="2025-01-03T00:00:00"/>
        <d v="2025-10-23T00:00:00"/>
        <d v="2025-05-03T00:00:00"/>
        <d v="2025-09-26T00:00:00"/>
        <d v="2025-10-22T00:00:00"/>
        <d v="2025-03-02T00:00:00"/>
        <d v="2025-07-24T00:00:00"/>
        <d v="2023-01-05T00:00:00"/>
        <d v="2025-01-10T00:00:00"/>
        <d v="2025-10-30T00:00:00"/>
        <d v="2025-02-12T00:00:00"/>
        <d v="2025-05-31T00:00:00"/>
        <d v="2024-12-19T00:00:00"/>
        <d v="2025-06-13T00:00:00"/>
        <d v="2025-10-11T00:00:00"/>
        <d v="2025-05-16T00:00:00"/>
        <d v="2025-10-06T00:00:00"/>
        <d v="2025-02-09T00:00:00"/>
        <d v="2025-05-18T00:00:00"/>
        <d v="2025-05-12T00:00:00"/>
        <d v="2024-11-10T00:00:00"/>
        <d v="2025-06-22T00:00:00"/>
        <d v="2025-08-15T00:00:00"/>
        <d v="2025-06-11T00:00:00"/>
        <d v="2025-04-02T00:00:00"/>
        <d v="2024-12-05T00:00:00"/>
        <d v="2025-10-04T00:00:00"/>
        <d v="2025-06-12T00:00:00"/>
        <d v="2025-02-23T00:00:00"/>
        <d v="2025-08-09T00:00:00"/>
        <d v="2025-02-26T00:00:00"/>
        <d v="2025-02-13T00:00:00"/>
        <d v="2025-07-11T00:00:00"/>
        <d v="2025-01-27T00:00:00"/>
        <d v="2023-05-01T00:00:00"/>
        <d v="2025-07-09T00:00:00"/>
        <d v="2025-05-01T00:00:00"/>
        <d v="2025-03-13T00:00:00"/>
        <d v="2025-06-29T00:00:00"/>
        <d v="2024-11-27T00:00:00"/>
        <d v="2025-07-01T00:00:00"/>
        <d v="2025-09-22T00:00:00"/>
        <d v="2025-07-16T00:00:00"/>
        <d v="2025-02-21T00:00:00"/>
        <d v="2024-11-28T00:00:00"/>
        <d v="2025-11-06T00:00:00"/>
        <d v="2025-04-05T00:00:00"/>
        <d v="2025-07-28T00:00:00"/>
        <d v="2024-12-15T00:00:00"/>
        <d v="2025-05-19T00:00:00"/>
        <d v="2024-11-08T00:00:00"/>
        <d v="2025-07-03T00:00:00"/>
        <d v="2025-08-07T00:00:00"/>
        <d v="2025-11-04T00:00:00"/>
        <d v="2025-08-12T00:00:00"/>
        <d v="2025-10-03T00:00:00"/>
        <d v="2024-12-06T00:00:00"/>
        <d v="2024-11-18T00:00:00"/>
        <d v="2025-09-20T00:00:00"/>
        <d v="2025-02-24T00:00:00"/>
        <d v="2025-07-22T00:00:00"/>
        <d v="2025-09-18T00:00:00"/>
        <d v="2025-09-03T00:00:00"/>
        <d v="2025-03-26T00:00:00"/>
        <d v="2024-12-29T00:00:00"/>
        <d v="2025-08-03T00:00:00"/>
        <d v="2025-03-10T00:00:00"/>
        <d v="2025-02-15T00:00:00"/>
        <d v="2025-08-14T00:00:00"/>
        <d v="2024-11-19T00:00:00"/>
        <d v="2025-07-18T00:00:00"/>
        <m/>
        <d v="2025-06-06T00:00:00"/>
        <d v="2025-02-10T00:00:00"/>
        <d v="2025-06-19T00:00:00"/>
        <d v="2025-06-23T00:00:00"/>
        <d v="2025-07-27T00:00:00"/>
        <d v="2025-01-22T00:00:00"/>
      </sharedItems>
      <fieldGroup base="3">
        <rangePr groupBy="months" startDate="2023-01-05T00:00:00" endDate="2025-11-06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1-2025"/>
        </groupItems>
      </fieldGroup>
    </cacheField>
    <cacheField name="Product" numFmtId="0">
      <sharedItems count="20">
        <s v="Blender"/>
        <s v="Smartphone"/>
        <s v="Tennis Racket"/>
        <s v="Science"/>
        <s v="Biography"/>
        <s v="Basketball"/>
        <s v="Comics"/>
        <s v="Shoes"/>
        <s v="Fiction"/>
        <s v="Microwave"/>
        <s v="Yoga Mat"/>
        <s v="Vacuum"/>
        <s v="Lamp"/>
        <s v="T-shirt"/>
        <s v="Smartwatch"/>
        <s v="Headphones"/>
        <s v="Football"/>
        <s v="Laptop"/>
        <s v="Jacket"/>
        <s v="Jeans"/>
      </sharedItems>
    </cacheField>
    <cacheField name=" Category" numFmtId="0">
      <sharedItems count="5">
        <s v="Home"/>
        <s v="Electronics"/>
        <s v="Sports"/>
        <s v="Books"/>
        <s v="Clothing"/>
      </sharedItems>
    </cacheField>
    <cacheField name="Quantity" numFmtId="0">
      <sharedItems containsBlank="1" containsNumber="1" containsInteger="1" containsMixedTypes="1" count="7">
        <n v="3"/>
        <n v="2"/>
        <n v="1"/>
        <n v="5"/>
        <s v=""/>
        <n v="4"/>
        <m/>
      </sharedItems>
    </cacheField>
    <cacheField name="Price" numFmtId="0">
      <sharedItems containsString="0" containsBlank="1" containsNumber="1" minValue="0" maxValue="10000" count="94">
        <n v="38"/>
        <m/>
        <n v="389.05"/>
        <n v="233.92"/>
        <n v="552.51"/>
        <n v="122.06"/>
        <n v="978.63"/>
        <n v="587.68"/>
        <n v="600.29"/>
        <n v="168.34"/>
        <n v="400"/>
        <n v="865.77"/>
        <n v="752.13"/>
        <n v="411.81"/>
        <n v="413.13"/>
        <n v="796.84"/>
        <n v="10000"/>
        <n v="247.82"/>
        <n v="438.19"/>
        <n v="300"/>
        <n v="523.01"/>
        <n v="556.93"/>
        <n v="615.91"/>
        <n v="765.69"/>
        <n v="836.8"/>
        <n v="336.02"/>
        <n v="898.69"/>
        <n v="736.71"/>
        <n v="616.63"/>
        <n v="266.7"/>
        <n v="343.24"/>
        <n v="591.53"/>
        <n v="446.19"/>
        <n v="696.71"/>
        <n v="100"/>
        <n v="531.06"/>
        <n v="681.38"/>
        <n v="588.98"/>
        <n v="546.04"/>
        <n v="645.26"/>
        <n v="826.77"/>
        <n v="849.07"/>
        <n v="860.99"/>
        <n v="705.42"/>
        <n v="596.15"/>
        <n v="660.98"/>
        <n v="896.38"/>
        <n v="206.19"/>
        <n v="457.16"/>
        <n v="233.11"/>
        <n v="278.9"/>
        <n v="789.64"/>
        <n v="40.95"/>
        <n v="275.1"/>
        <n v="933.58"/>
        <n v="163.16"/>
        <n v="242.52"/>
        <n v="209.32"/>
        <n v="155.76"/>
        <n v="235.26"/>
        <n v="587.64"/>
        <n v="443.13"/>
        <n v="569.38"/>
        <n v="593.93"/>
        <n v="141.49"/>
        <n v="582.13"/>
        <n v="741.63"/>
        <n v="688.68"/>
        <n v="942.76"/>
        <n v="351.89"/>
        <n v="187.48"/>
        <n v="111.36"/>
        <n v="530.52"/>
        <n v="69.48"/>
        <n v="472.14"/>
        <n v="868.67"/>
        <n v="418.38"/>
        <n v="266.48"/>
        <n v="538.35"/>
        <n v="101.19"/>
        <n v="730.92"/>
        <n v="365.34"/>
        <n v="882.96"/>
        <n v="504.05"/>
        <n v="814.68"/>
        <n v="920.37"/>
        <n v="881.02"/>
        <n v="203.63"/>
        <n v="522.02"/>
        <n v="944.54"/>
        <n v="817.46"/>
        <n v="160.16"/>
        <n v="497.01"/>
        <n v="372.28"/>
      </sharedItems>
    </cacheField>
    <cacheField name="Payment_Method" numFmtId="0">
      <sharedItems count="4">
        <s v="Cash on Delivery"/>
        <s v="PayPal"/>
        <s v="Bank Transfer"/>
        <s v="Credit Card"/>
      </sharedItems>
    </cacheField>
    <cacheField name="Status" numFmtId="0">
      <sharedItems count="5">
        <s v="Shipped"/>
        <s v="Processing"/>
        <s v="Delivered"/>
        <s v="Cancelled"/>
        <s v="Returned"/>
      </sharedItems>
    </cacheField>
    <cacheField name="Total" numFmtId="0">
      <sharedItems containsString="0" containsBlank="1" containsNumber="1" minValue="0" maxValue="20000" count="90">
        <n v="114"/>
        <m/>
        <n v="389.05"/>
        <n v="1169.6"/>
        <n v="552.51"/>
        <n v="366.18"/>
        <n v="2938.4"/>
        <n v="600.29"/>
        <n v="841.7"/>
        <n v="2000"/>
        <n v="1731.54"/>
        <n v="3008.52"/>
        <n v="411.81"/>
        <n v="826.26"/>
        <n v="1593.68"/>
        <n v="20000"/>
        <n v="1239.1"/>
        <n v="1752.76"/>
        <n v="1500"/>
        <n v="2092.04"/>
        <n v="1113.86"/>
        <n v="1847.73"/>
        <n v="3062.76"/>
        <n v="3347.2"/>
        <n v="1680.1"/>
        <n v="2696.07"/>
        <n v="2946.84"/>
        <n v="3083.15"/>
        <n v="266.7"/>
        <n v="1716.2"/>
        <n v="2957.65"/>
        <n v="1784.76"/>
        <n v="696.71"/>
        <n v="300"/>
        <n v="531.06"/>
        <n v="1362.76"/>
        <n v="2355.92"/>
        <n v="1638.12"/>
        <n v="3226.3"/>
        <n v="4133.85"/>
        <n v="4245.35"/>
        <n v="1721.98"/>
        <n v="1410.84"/>
        <n v="2384.6"/>
        <n v="660.98"/>
        <n v="4481.9"/>
        <n v="206.19"/>
        <n v="914.32"/>
        <n v="699.33"/>
        <n v="1115.6"/>
        <n v="3948.2"/>
        <n v="40.95"/>
        <n v="1100.4"/>
        <n v="933.58"/>
        <n v="489.48"/>
        <n v="1212.6"/>
        <n v="837.28"/>
        <n v="311.52"/>
        <n v="705.78"/>
        <n v="886.26"/>
        <n v="1138.76"/>
        <n v="282.98"/>
        <n v="582.13"/>
        <n v="3708.15"/>
        <n v="2066.04"/>
        <n v="1885.52"/>
        <n v="1759.45"/>
        <n v="749.92"/>
        <n v="111.36"/>
        <n v="2652.6"/>
        <n v="69.48"/>
        <n v="1416.42"/>
        <n v="2606.01"/>
        <n v="836.76"/>
        <n v="266.48"/>
        <n v="2153.4"/>
        <n v="404.76"/>
        <n v="1461.84"/>
        <n v="365.34"/>
        <n v="2648.88"/>
        <n v="2520.25"/>
        <n v="814.68"/>
        <n v="920.37"/>
        <n v="1762.04"/>
        <n v="814.52"/>
        <n v="4722.7"/>
        <n v="4087.3"/>
        <n v="160.16"/>
        <n v="994.02"/>
        <n v="1861.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1"/>
    <x v="2"/>
    <x v="2"/>
  </r>
  <r>
    <x v="3"/>
    <x v="3"/>
    <x v="3"/>
    <x v="3"/>
    <x v="3"/>
    <x v="3"/>
    <x v="3"/>
    <x v="3"/>
    <x v="1"/>
    <x v="1"/>
    <x v="3"/>
  </r>
  <r>
    <x v="4"/>
    <x v="4"/>
    <x v="4"/>
    <x v="4"/>
    <x v="4"/>
    <x v="3"/>
    <x v="2"/>
    <x v="4"/>
    <x v="0"/>
    <x v="1"/>
    <x v="4"/>
  </r>
  <r>
    <x v="5"/>
    <x v="5"/>
    <x v="5"/>
    <x v="5"/>
    <x v="2"/>
    <x v="2"/>
    <x v="0"/>
    <x v="5"/>
    <x v="0"/>
    <x v="3"/>
    <x v="5"/>
  </r>
  <r>
    <x v="6"/>
    <x v="6"/>
    <x v="6"/>
    <x v="6"/>
    <x v="0"/>
    <x v="0"/>
    <x v="4"/>
    <x v="6"/>
    <x v="2"/>
    <x v="1"/>
    <x v="1"/>
  </r>
  <r>
    <x v="7"/>
    <x v="7"/>
    <x v="7"/>
    <x v="7"/>
    <x v="4"/>
    <x v="3"/>
    <x v="3"/>
    <x v="7"/>
    <x v="1"/>
    <x v="4"/>
    <x v="6"/>
  </r>
  <r>
    <x v="8"/>
    <x v="8"/>
    <x v="8"/>
    <x v="8"/>
    <x v="3"/>
    <x v="3"/>
    <x v="2"/>
    <x v="8"/>
    <x v="0"/>
    <x v="1"/>
    <x v="7"/>
  </r>
  <r>
    <x v="9"/>
    <x v="9"/>
    <x v="9"/>
    <x v="9"/>
    <x v="2"/>
    <x v="2"/>
    <x v="3"/>
    <x v="9"/>
    <x v="3"/>
    <x v="0"/>
    <x v="8"/>
  </r>
  <r>
    <x v="10"/>
    <x v="10"/>
    <x v="10"/>
    <x v="10"/>
    <x v="5"/>
    <x v="2"/>
    <x v="3"/>
    <x v="10"/>
    <x v="0"/>
    <x v="3"/>
    <x v="9"/>
  </r>
  <r>
    <x v="11"/>
    <x v="11"/>
    <x v="11"/>
    <x v="11"/>
    <x v="6"/>
    <x v="3"/>
    <x v="1"/>
    <x v="11"/>
    <x v="3"/>
    <x v="4"/>
    <x v="10"/>
  </r>
  <r>
    <x v="12"/>
    <x v="12"/>
    <x v="12"/>
    <x v="12"/>
    <x v="7"/>
    <x v="4"/>
    <x v="5"/>
    <x v="12"/>
    <x v="2"/>
    <x v="2"/>
    <x v="11"/>
  </r>
  <r>
    <x v="13"/>
    <x v="13"/>
    <x v="13"/>
    <x v="13"/>
    <x v="8"/>
    <x v="3"/>
    <x v="2"/>
    <x v="13"/>
    <x v="3"/>
    <x v="1"/>
    <x v="12"/>
  </r>
  <r>
    <x v="14"/>
    <x v="14"/>
    <x v="14"/>
    <x v="14"/>
    <x v="1"/>
    <x v="1"/>
    <x v="1"/>
    <x v="14"/>
    <x v="0"/>
    <x v="0"/>
    <x v="13"/>
  </r>
  <r>
    <x v="15"/>
    <x v="15"/>
    <x v="15"/>
    <x v="15"/>
    <x v="8"/>
    <x v="3"/>
    <x v="1"/>
    <x v="15"/>
    <x v="0"/>
    <x v="4"/>
    <x v="14"/>
  </r>
  <r>
    <x v="16"/>
    <x v="16"/>
    <x v="16"/>
    <x v="16"/>
    <x v="9"/>
    <x v="0"/>
    <x v="5"/>
    <x v="1"/>
    <x v="0"/>
    <x v="1"/>
    <x v="1"/>
  </r>
  <r>
    <x v="17"/>
    <x v="17"/>
    <x v="17"/>
    <x v="17"/>
    <x v="0"/>
    <x v="0"/>
    <x v="1"/>
    <x v="16"/>
    <x v="0"/>
    <x v="1"/>
    <x v="15"/>
  </r>
  <r>
    <x v="18"/>
    <x v="18"/>
    <x v="18"/>
    <x v="18"/>
    <x v="3"/>
    <x v="3"/>
    <x v="3"/>
    <x v="17"/>
    <x v="1"/>
    <x v="1"/>
    <x v="16"/>
  </r>
  <r>
    <x v="19"/>
    <x v="19"/>
    <x v="19"/>
    <x v="19"/>
    <x v="5"/>
    <x v="2"/>
    <x v="5"/>
    <x v="18"/>
    <x v="0"/>
    <x v="1"/>
    <x v="17"/>
  </r>
  <r>
    <x v="20"/>
    <x v="20"/>
    <x v="20"/>
    <x v="20"/>
    <x v="10"/>
    <x v="2"/>
    <x v="3"/>
    <x v="19"/>
    <x v="3"/>
    <x v="3"/>
    <x v="18"/>
  </r>
  <r>
    <x v="21"/>
    <x v="21"/>
    <x v="21"/>
    <x v="21"/>
    <x v="5"/>
    <x v="2"/>
    <x v="5"/>
    <x v="20"/>
    <x v="3"/>
    <x v="2"/>
    <x v="19"/>
  </r>
  <r>
    <x v="22"/>
    <x v="22"/>
    <x v="22"/>
    <x v="22"/>
    <x v="9"/>
    <x v="0"/>
    <x v="1"/>
    <x v="21"/>
    <x v="1"/>
    <x v="0"/>
    <x v="20"/>
  </r>
  <r>
    <x v="23"/>
    <x v="23"/>
    <x v="23"/>
    <x v="23"/>
    <x v="11"/>
    <x v="0"/>
    <x v="0"/>
    <x v="22"/>
    <x v="0"/>
    <x v="3"/>
    <x v="21"/>
  </r>
  <r>
    <x v="24"/>
    <x v="24"/>
    <x v="24"/>
    <x v="18"/>
    <x v="6"/>
    <x v="3"/>
    <x v="3"/>
    <x v="1"/>
    <x v="1"/>
    <x v="3"/>
    <x v="1"/>
  </r>
  <r>
    <x v="25"/>
    <x v="25"/>
    <x v="25"/>
    <x v="24"/>
    <x v="6"/>
    <x v="3"/>
    <x v="5"/>
    <x v="23"/>
    <x v="1"/>
    <x v="0"/>
    <x v="22"/>
  </r>
  <r>
    <x v="26"/>
    <x v="26"/>
    <x v="26"/>
    <x v="25"/>
    <x v="7"/>
    <x v="4"/>
    <x v="5"/>
    <x v="24"/>
    <x v="2"/>
    <x v="3"/>
    <x v="23"/>
  </r>
  <r>
    <x v="27"/>
    <x v="27"/>
    <x v="27"/>
    <x v="26"/>
    <x v="0"/>
    <x v="0"/>
    <x v="3"/>
    <x v="25"/>
    <x v="2"/>
    <x v="4"/>
    <x v="24"/>
  </r>
  <r>
    <x v="28"/>
    <x v="28"/>
    <x v="28"/>
    <x v="27"/>
    <x v="12"/>
    <x v="0"/>
    <x v="0"/>
    <x v="26"/>
    <x v="2"/>
    <x v="2"/>
    <x v="25"/>
  </r>
  <r>
    <x v="29"/>
    <x v="29"/>
    <x v="29"/>
    <x v="28"/>
    <x v="3"/>
    <x v="3"/>
    <x v="5"/>
    <x v="27"/>
    <x v="2"/>
    <x v="4"/>
    <x v="26"/>
  </r>
  <r>
    <x v="30"/>
    <x v="30"/>
    <x v="30"/>
    <x v="29"/>
    <x v="2"/>
    <x v="2"/>
    <x v="1"/>
    <x v="1"/>
    <x v="2"/>
    <x v="1"/>
    <x v="1"/>
  </r>
  <r>
    <x v="31"/>
    <x v="31"/>
    <x v="31"/>
    <x v="30"/>
    <x v="12"/>
    <x v="0"/>
    <x v="3"/>
    <x v="28"/>
    <x v="1"/>
    <x v="0"/>
    <x v="27"/>
  </r>
  <r>
    <x v="32"/>
    <x v="32"/>
    <x v="32"/>
    <x v="31"/>
    <x v="10"/>
    <x v="2"/>
    <x v="2"/>
    <x v="29"/>
    <x v="1"/>
    <x v="2"/>
    <x v="28"/>
  </r>
  <r>
    <x v="33"/>
    <x v="33"/>
    <x v="33"/>
    <x v="32"/>
    <x v="4"/>
    <x v="3"/>
    <x v="3"/>
    <x v="30"/>
    <x v="3"/>
    <x v="0"/>
    <x v="29"/>
  </r>
  <r>
    <x v="34"/>
    <x v="34"/>
    <x v="34"/>
    <x v="33"/>
    <x v="13"/>
    <x v="4"/>
    <x v="3"/>
    <x v="31"/>
    <x v="1"/>
    <x v="0"/>
    <x v="30"/>
  </r>
  <r>
    <x v="35"/>
    <x v="35"/>
    <x v="35"/>
    <x v="24"/>
    <x v="14"/>
    <x v="1"/>
    <x v="5"/>
    <x v="32"/>
    <x v="0"/>
    <x v="3"/>
    <x v="31"/>
  </r>
  <r>
    <x v="36"/>
    <x v="36"/>
    <x v="36"/>
    <x v="34"/>
    <x v="15"/>
    <x v="1"/>
    <x v="2"/>
    <x v="33"/>
    <x v="3"/>
    <x v="2"/>
    <x v="32"/>
  </r>
  <r>
    <x v="37"/>
    <x v="37"/>
    <x v="37"/>
    <x v="35"/>
    <x v="11"/>
    <x v="0"/>
    <x v="0"/>
    <x v="34"/>
    <x v="0"/>
    <x v="2"/>
    <x v="33"/>
  </r>
  <r>
    <x v="38"/>
    <x v="38"/>
    <x v="38"/>
    <x v="36"/>
    <x v="12"/>
    <x v="0"/>
    <x v="2"/>
    <x v="35"/>
    <x v="1"/>
    <x v="1"/>
    <x v="34"/>
  </r>
  <r>
    <x v="39"/>
    <x v="39"/>
    <x v="39"/>
    <x v="24"/>
    <x v="1"/>
    <x v="1"/>
    <x v="1"/>
    <x v="36"/>
    <x v="3"/>
    <x v="3"/>
    <x v="35"/>
  </r>
  <r>
    <x v="40"/>
    <x v="40"/>
    <x v="40"/>
    <x v="37"/>
    <x v="8"/>
    <x v="3"/>
    <x v="5"/>
    <x v="37"/>
    <x v="3"/>
    <x v="4"/>
    <x v="36"/>
  </r>
  <r>
    <x v="41"/>
    <x v="41"/>
    <x v="41"/>
    <x v="38"/>
    <x v="8"/>
    <x v="3"/>
    <x v="0"/>
    <x v="38"/>
    <x v="0"/>
    <x v="4"/>
    <x v="37"/>
  </r>
  <r>
    <x v="42"/>
    <x v="42"/>
    <x v="42"/>
    <x v="16"/>
    <x v="7"/>
    <x v="4"/>
    <x v="3"/>
    <x v="39"/>
    <x v="3"/>
    <x v="0"/>
    <x v="38"/>
  </r>
  <r>
    <x v="43"/>
    <x v="43"/>
    <x v="43"/>
    <x v="39"/>
    <x v="13"/>
    <x v="4"/>
    <x v="3"/>
    <x v="40"/>
    <x v="2"/>
    <x v="3"/>
    <x v="39"/>
  </r>
  <r>
    <x v="44"/>
    <x v="44"/>
    <x v="44"/>
    <x v="40"/>
    <x v="16"/>
    <x v="2"/>
    <x v="3"/>
    <x v="41"/>
    <x v="2"/>
    <x v="1"/>
    <x v="40"/>
  </r>
  <r>
    <x v="45"/>
    <x v="45"/>
    <x v="45"/>
    <x v="41"/>
    <x v="17"/>
    <x v="1"/>
    <x v="1"/>
    <x v="42"/>
    <x v="2"/>
    <x v="4"/>
    <x v="41"/>
  </r>
  <r>
    <x v="46"/>
    <x v="46"/>
    <x v="46"/>
    <x v="42"/>
    <x v="5"/>
    <x v="2"/>
    <x v="1"/>
    <x v="43"/>
    <x v="2"/>
    <x v="1"/>
    <x v="42"/>
  </r>
  <r>
    <x v="47"/>
    <x v="47"/>
    <x v="47"/>
    <x v="43"/>
    <x v="18"/>
    <x v="4"/>
    <x v="5"/>
    <x v="44"/>
    <x v="0"/>
    <x v="0"/>
    <x v="43"/>
  </r>
  <r>
    <x v="48"/>
    <x v="48"/>
    <x v="48"/>
    <x v="44"/>
    <x v="2"/>
    <x v="2"/>
    <x v="2"/>
    <x v="45"/>
    <x v="0"/>
    <x v="4"/>
    <x v="44"/>
  </r>
  <r>
    <x v="49"/>
    <x v="49"/>
    <x v="49"/>
    <x v="45"/>
    <x v="6"/>
    <x v="3"/>
    <x v="3"/>
    <x v="46"/>
    <x v="2"/>
    <x v="3"/>
    <x v="45"/>
  </r>
  <r>
    <x v="50"/>
    <x v="50"/>
    <x v="50"/>
    <x v="46"/>
    <x v="10"/>
    <x v="2"/>
    <x v="2"/>
    <x v="47"/>
    <x v="3"/>
    <x v="4"/>
    <x v="46"/>
  </r>
  <r>
    <x v="51"/>
    <x v="51"/>
    <x v="51"/>
    <x v="47"/>
    <x v="6"/>
    <x v="3"/>
    <x v="1"/>
    <x v="48"/>
    <x v="1"/>
    <x v="1"/>
    <x v="47"/>
  </r>
  <r>
    <x v="52"/>
    <x v="52"/>
    <x v="52"/>
    <x v="48"/>
    <x v="12"/>
    <x v="0"/>
    <x v="0"/>
    <x v="49"/>
    <x v="1"/>
    <x v="4"/>
    <x v="48"/>
  </r>
  <r>
    <x v="53"/>
    <x v="53"/>
    <x v="53"/>
    <x v="49"/>
    <x v="10"/>
    <x v="2"/>
    <x v="5"/>
    <x v="50"/>
    <x v="0"/>
    <x v="1"/>
    <x v="49"/>
  </r>
  <r>
    <x v="54"/>
    <x v="54"/>
    <x v="54"/>
    <x v="50"/>
    <x v="0"/>
    <x v="0"/>
    <x v="3"/>
    <x v="51"/>
    <x v="0"/>
    <x v="3"/>
    <x v="50"/>
  </r>
  <r>
    <x v="55"/>
    <x v="55"/>
    <x v="55"/>
    <x v="43"/>
    <x v="7"/>
    <x v="4"/>
    <x v="2"/>
    <x v="52"/>
    <x v="1"/>
    <x v="4"/>
    <x v="51"/>
  </r>
  <r>
    <x v="56"/>
    <x v="56"/>
    <x v="56"/>
    <x v="51"/>
    <x v="19"/>
    <x v="4"/>
    <x v="1"/>
    <x v="1"/>
    <x v="2"/>
    <x v="0"/>
    <x v="1"/>
  </r>
  <r>
    <x v="57"/>
    <x v="57"/>
    <x v="57"/>
    <x v="52"/>
    <x v="18"/>
    <x v="4"/>
    <x v="5"/>
    <x v="53"/>
    <x v="2"/>
    <x v="1"/>
    <x v="52"/>
  </r>
  <r>
    <x v="58"/>
    <x v="58"/>
    <x v="58"/>
    <x v="53"/>
    <x v="14"/>
    <x v="1"/>
    <x v="2"/>
    <x v="54"/>
    <x v="0"/>
    <x v="0"/>
    <x v="53"/>
  </r>
  <r>
    <x v="59"/>
    <x v="59"/>
    <x v="59"/>
    <x v="54"/>
    <x v="9"/>
    <x v="0"/>
    <x v="0"/>
    <x v="55"/>
    <x v="1"/>
    <x v="0"/>
    <x v="54"/>
  </r>
  <r>
    <x v="60"/>
    <x v="60"/>
    <x v="60"/>
    <x v="7"/>
    <x v="3"/>
    <x v="3"/>
    <x v="3"/>
    <x v="56"/>
    <x v="0"/>
    <x v="4"/>
    <x v="55"/>
  </r>
  <r>
    <x v="61"/>
    <x v="61"/>
    <x v="61"/>
    <x v="55"/>
    <x v="3"/>
    <x v="3"/>
    <x v="5"/>
    <x v="57"/>
    <x v="2"/>
    <x v="0"/>
    <x v="56"/>
  </r>
  <r>
    <x v="62"/>
    <x v="62"/>
    <x v="62"/>
    <x v="56"/>
    <x v="0"/>
    <x v="0"/>
    <x v="1"/>
    <x v="58"/>
    <x v="3"/>
    <x v="4"/>
    <x v="57"/>
  </r>
  <r>
    <x v="63"/>
    <x v="63"/>
    <x v="63"/>
    <x v="14"/>
    <x v="14"/>
    <x v="1"/>
    <x v="0"/>
    <x v="59"/>
    <x v="0"/>
    <x v="0"/>
    <x v="58"/>
  </r>
  <r>
    <x v="64"/>
    <x v="64"/>
    <x v="64"/>
    <x v="24"/>
    <x v="2"/>
    <x v="2"/>
    <x v="6"/>
    <x v="60"/>
    <x v="3"/>
    <x v="4"/>
    <x v="1"/>
  </r>
  <r>
    <x v="65"/>
    <x v="65"/>
    <x v="65"/>
    <x v="57"/>
    <x v="7"/>
    <x v="4"/>
    <x v="1"/>
    <x v="61"/>
    <x v="3"/>
    <x v="2"/>
    <x v="59"/>
  </r>
  <r>
    <x v="66"/>
    <x v="66"/>
    <x v="66"/>
    <x v="58"/>
    <x v="13"/>
    <x v="4"/>
    <x v="1"/>
    <x v="62"/>
    <x v="0"/>
    <x v="0"/>
    <x v="60"/>
  </r>
  <r>
    <x v="67"/>
    <x v="67"/>
    <x v="67"/>
    <x v="59"/>
    <x v="5"/>
    <x v="2"/>
    <x v="6"/>
    <x v="63"/>
    <x v="0"/>
    <x v="1"/>
    <x v="1"/>
  </r>
  <r>
    <x v="68"/>
    <x v="68"/>
    <x v="68"/>
    <x v="60"/>
    <x v="4"/>
    <x v="3"/>
    <x v="1"/>
    <x v="64"/>
    <x v="1"/>
    <x v="3"/>
    <x v="61"/>
  </r>
  <r>
    <x v="69"/>
    <x v="69"/>
    <x v="69"/>
    <x v="61"/>
    <x v="5"/>
    <x v="2"/>
    <x v="2"/>
    <x v="65"/>
    <x v="3"/>
    <x v="4"/>
    <x v="62"/>
  </r>
  <r>
    <x v="70"/>
    <x v="70"/>
    <x v="70"/>
    <x v="62"/>
    <x v="19"/>
    <x v="4"/>
    <x v="3"/>
    <x v="66"/>
    <x v="2"/>
    <x v="1"/>
    <x v="63"/>
  </r>
  <r>
    <x v="71"/>
    <x v="71"/>
    <x v="71"/>
    <x v="63"/>
    <x v="7"/>
    <x v="4"/>
    <x v="0"/>
    <x v="67"/>
    <x v="1"/>
    <x v="1"/>
    <x v="64"/>
  </r>
  <r>
    <x v="72"/>
    <x v="72"/>
    <x v="72"/>
    <x v="64"/>
    <x v="6"/>
    <x v="3"/>
    <x v="1"/>
    <x v="68"/>
    <x v="2"/>
    <x v="4"/>
    <x v="65"/>
  </r>
  <r>
    <x v="73"/>
    <x v="73"/>
    <x v="73"/>
    <x v="21"/>
    <x v="12"/>
    <x v="0"/>
    <x v="3"/>
    <x v="69"/>
    <x v="3"/>
    <x v="0"/>
    <x v="66"/>
  </r>
  <r>
    <x v="74"/>
    <x v="74"/>
    <x v="74"/>
    <x v="65"/>
    <x v="9"/>
    <x v="0"/>
    <x v="5"/>
    <x v="70"/>
    <x v="3"/>
    <x v="4"/>
    <x v="67"/>
  </r>
  <r>
    <x v="75"/>
    <x v="75"/>
    <x v="75"/>
    <x v="66"/>
    <x v="15"/>
    <x v="1"/>
    <x v="2"/>
    <x v="71"/>
    <x v="3"/>
    <x v="1"/>
    <x v="68"/>
  </r>
  <r>
    <x v="76"/>
    <x v="76"/>
    <x v="76"/>
    <x v="67"/>
    <x v="6"/>
    <x v="3"/>
    <x v="3"/>
    <x v="72"/>
    <x v="0"/>
    <x v="0"/>
    <x v="69"/>
  </r>
  <r>
    <x v="77"/>
    <x v="77"/>
    <x v="77"/>
    <x v="54"/>
    <x v="17"/>
    <x v="1"/>
    <x v="2"/>
    <x v="73"/>
    <x v="2"/>
    <x v="4"/>
    <x v="70"/>
  </r>
  <r>
    <x v="78"/>
    <x v="78"/>
    <x v="78"/>
    <x v="68"/>
    <x v="2"/>
    <x v="2"/>
    <x v="0"/>
    <x v="74"/>
    <x v="1"/>
    <x v="4"/>
    <x v="71"/>
  </r>
  <r>
    <x v="79"/>
    <x v="79"/>
    <x v="79"/>
    <x v="69"/>
    <x v="10"/>
    <x v="2"/>
    <x v="0"/>
    <x v="75"/>
    <x v="1"/>
    <x v="2"/>
    <x v="72"/>
  </r>
  <r>
    <x v="80"/>
    <x v="80"/>
    <x v="80"/>
    <x v="70"/>
    <x v="17"/>
    <x v="1"/>
    <x v="1"/>
    <x v="76"/>
    <x v="3"/>
    <x v="1"/>
    <x v="73"/>
  </r>
  <r>
    <x v="81"/>
    <x v="81"/>
    <x v="81"/>
    <x v="71"/>
    <x v="1"/>
    <x v="1"/>
    <x v="2"/>
    <x v="77"/>
    <x v="0"/>
    <x v="3"/>
    <x v="74"/>
  </r>
  <r>
    <x v="82"/>
    <x v="82"/>
    <x v="82"/>
    <x v="72"/>
    <x v="7"/>
    <x v="4"/>
    <x v="5"/>
    <x v="78"/>
    <x v="1"/>
    <x v="1"/>
    <x v="75"/>
  </r>
  <r>
    <x v="83"/>
    <x v="83"/>
    <x v="83"/>
    <x v="73"/>
    <x v="7"/>
    <x v="4"/>
    <x v="3"/>
    <x v="1"/>
    <x v="0"/>
    <x v="4"/>
    <x v="1"/>
  </r>
  <r>
    <x v="84"/>
    <x v="84"/>
    <x v="84"/>
    <x v="74"/>
    <x v="19"/>
    <x v="4"/>
    <x v="5"/>
    <x v="79"/>
    <x v="2"/>
    <x v="1"/>
    <x v="76"/>
  </r>
  <r>
    <x v="85"/>
    <x v="85"/>
    <x v="85"/>
    <x v="75"/>
    <x v="16"/>
    <x v="2"/>
    <x v="1"/>
    <x v="80"/>
    <x v="0"/>
    <x v="3"/>
    <x v="77"/>
  </r>
  <r>
    <x v="86"/>
    <x v="86"/>
    <x v="86"/>
    <x v="23"/>
    <x v="17"/>
    <x v="1"/>
    <x v="2"/>
    <x v="81"/>
    <x v="2"/>
    <x v="2"/>
    <x v="78"/>
  </r>
  <r>
    <x v="87"/>
    <x v="87"/>
    <x v="87"/>
    <x v="76"/>
    <x v="1"/>
    <x v="1"/>
    <x v="0"/>
    <x v="82"/>
    <x v="2"/>
    <x v="4"/>
    <x v="79"/>
  </r>
  <r>
    <x v="88"/>
    <x v="88"/>
    <x v="88"/>
    <x v="76"/>
    <x v="9"/>
    <x v="0"/>
    <x v="3"/>
    <x v="83"/>
    <x v="0"/>
    <x v="0"/>
    <x v="80"/>
  </r>
  <r>
    <x v="89"/>
    <x v="89"/>
    <x v="89"/>
    <x v="75"/>
    <x v="12"/>
    <x v="0"/>
    <x v="2"/>
    <x v="84"/>
    <x v="0"/>
    <x v="4"/>
    <x v="81"/>
  </r>
  <r>
    <x v="90"/>
    <x v="90"/>
    <x v="90"/>
    <x v="45"/>
    <x v="11"/>
    <x v="0"/>
    <x v="2"/>
    <x v="85"/>
    <x v="2"/>
    <x v="1"/>
    <x v="82"/>
  </r>
  <r>
    <x v="91"/>
    <x v="91"/>
    <x v="91"/>
    <x v="77"/>
    <x v="8"/>
    <x v="3"/>
    <x v="1"/>
    <x v="86"/>
    <x v="0"/>
    <x v="4"/>
    <x v="83"/>
  </r>
  <r>
    <x v="92"/>
    <x v="92"/>
    <x v="92"/>
    <x v="78"/>
    <x v="18"/>
    <x v="4"/>
    <x v="5"/>
    <x v="87"/>
    <x v="3"/>
    <x v="4"/>
    <x v="84"/>
  </r>
  <r>
    <x v="93"/>
    <x v="93"/>
    <x v="93"/>
    <x v="79"/>
    <x v="5"/>
    <x v="2"/>
    <x v="6"/>
    <x v="88"/>
    <x v="1"/>
    <x v="0"/>
    <x v="1"/>
  </r>
  <r>
    <x v="94"/>
    <x v="94"/>
    <x v="94"/>
    <x v="80"/>
    <x v="12"/>
    <x v="0"/>
    <x v="3"/>
    <x v="89"/>
    <x v="0"/>
    <x v="4"/>
    <x v="85"/>
  </r>
  <r>
    <x v="95"/>
    <x v="95"/>
    <x v="95"/>
    <x v="81"/>
    <x v="4"/>
    <x v="3"/>
    <x v="3"/>
    <x v="90"/>
    <x v="0"/>
    <x v="4"/>
    <x v="86"/>
  </r>
  <r>
    <x v="96"/>
    <x v="96"/>
    <x v="96"/>
    <x v="2"/>
    <x v="11"/>
    <x v="0"/>
    <x v="6"/>
    <x v="1"/>
    <x v="1"/>
    <x v="2"/>
    <x v="1"/>
  </r>
  <r>
    <x v="97"/>
    <x v="97"/>
    <x v="97"/>
    <x v="82"/>
    <x v="0"/>
    <x v="0"/>
    <x v="2"/>
    <x v="91"/>
    <x v="1"/>
    <x v="3"/>
    <x v="87"/>
  </r>
  <r>
    <x v="98"/>
    <x v="98"/>
    <x v="98"/>
    <x v="83"/>
    <x v="11"/>
    <x v="0"/>
    <x v="1"/>
    <x v="92"/>
    <x v="0"/>
    <x v="0"/>
    <x v="88"/>
  </r>
  <r>
    <x v="99"/>
    <x v="99"/>
    <x v="99"/>
    <x v="84"/>
    <x v="0"/>
    <x v="0"/>
    <x v="3"/>
    <x v="93"/>
    <x v="3"/>
    <x v="0"/>
    <x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axis="axisRow"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5"/>
  </rowFields>
  <rowItems count="6">
    <i>
      <x v="2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8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easureFilter="1" compact="0" sortType="ascending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4"/>
  </rowFields>
  <rowItems count="6">
    <i>
      <x v="1"/>
    </i>
    <i>
      <x v="9"/>
    </i>
    <i>
      <x v="3"/>
    </i>
    <i>
      <x v="13"/>
    </i>
    <i>
      <x v="2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filters count="1">
    <filter evalOrder="-1" fld="4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E8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axis="axisRow" compact="0" sortType="ascending" showAll="0">
      <items count="5">
        <item x="2"/>
        <item x="0"/>
        <item x="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3"/>
        <item x="2"/>
        <item x="1"/>
        <item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8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2:E25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axis="axisRow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3:H9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x="4"/>
        <item x="1"/>
        <item x="0"/>
        <item x="2"/>
        <item t="default"/>
      </items>
      <autoSortScope>
        <pivotArea type="none" outline="0" fieldPosition="0"/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x="2"/>
        <item x="0"/>
        <item x="3"/>
        <item x="1"/>
        <item t="default"/>
      </items>
      <autoSortScope>
        <pivotArea type="none" outline="0" fieldPosition="0"/>
      </autoSortScope>
    </pivotField>
    <pivotField axis="axisRow" compact="0" sortType="ascending" showAll="0">
      <items count="6">
        <item x="3"/>
        <item x="2"/>
        <item x="1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9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dataFields count="1">
    <dataField name="Count of Order_ID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11:I17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axis="axisRow"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5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Quantity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Category" sourceName=" Category">
  <pivotTables>
    <pivotTable tabId="8" name="PivotTable7"/>
    <pivotTable tabId="8" name="PivotTable8"/>
    <pivotTable tabId="8" name="PivotTable9"/>
    <pivotTable tabId="8" name="PivotTable10"/>
    <pivotTable tabId="8" name="PivotTable11"/>
    <pivotTable tabId="8" name="PivotTable12"/>
  </pivotTables>
  <data>
    <tabular pivotCacheId="1">
      <items count="5">
        <i x="3" s="1"/>
        <i x="4" s="1"/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8" name="PivotTable9"/>
    <pivotTable tabId="8" name="PivotTable7"/>
    <pivotTable tabId="8" name="PivotTable8"/>
    <pivotTable tabId="8" name="PivotTable10"/>
    <pivotTable tabId="8" name="PivotTable11"/>
    <pivotTable tabId="8" name="PivotTable12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8" name="PivotTable9"/>
    <pivotTable tabId="8" name="PivotTable7"/>
    <pivotTable tabId="8" name="PivotTable8"/>
    <pivotTable tabId="8" name="PivotTable10"/>
    <pivotTable tabId="8" name="PivotTable11"/>
    <pivotTable tabId="8" name="PivotTable12"/>
  </pivotTables>
  <data>
    <tabular pivotCacheId="1">
      <items count="5">
        <i x="3" s="1"/>
        <i x="2" s="1"/>
        <i x="1" s="1"/>
        <i x="4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us" cache="Slicer_Status" caption="Status" startItem="2" columnCount="2" rowHeight="225425"/>
  <slicer name=" Category" cache="Slicer__Category" caption=" Category" columnCount="2" rowHeight="225425"/>
  <slicer name="Payment_Method" cache="Slicer_Payment_Method" caption="Payment_Method" columnCount="2" rowHeight="225425"/>
</slicers>
</file>

<file path=xl/tables/table1.xml><?xml version="1.0" encoding="utf-8"?>
<table xmlns="http://schemas.openxmlformats.org/spreadsheetml/2006/main" id="2" name="sales_table3" displayName="sales_table3" ref="A1:K101" totalsRowShown="0">
  <autoFilter xmlns:etc="http://www.wps.cn/officeDocument/2017/etCustomData" ref="A1:K101" etc:filterBottomFollowUsedRange="0"/>
  <sortState ref="A1:K101">
    <sortCondition ref="A1:A101"/>
  </sortState>
  <tableColumns count="11">
    <tableColumn id="1" name="ID"/>
    <tableColumn id="2" name=" Customer_Name"/>
    <tableColumn id="3" name="Order_ID"/>
    <tableColumn id="4" name="Order_Date" dataDxfId="0"/>
    <tableColumn id="5" name="Product"/>
    <tableColumn id="6" name=" Category">
      <calculatedColumnFormula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calculatedColumnFormula>
    </tableColumn>
    <tableColumn id="7" name="Quantity"/>
    <tableColumn id="8" name="Price"/>
    <tableColumn id="9" name="Payment_Method"/>
    <tableColumn id="10" name="Status"/>
    <tableColumn id="11" name="Total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sales_table" displayName="sales_table" ref="A1:O101" totalsRowShown="0">
  <autoFilter xmlns:etc="http://www.wps.cn/officeDocument/2017/etCustomData" ref="A1:O101" etc:filterBottomFollowUsedRange="0"/>
  <sortState ref="A1:O101">
    <sortCondition ref="A2"/>
  </sortState>
  <tableColumns count="15">
    <tableColumn id="1" name="ID"/>
    <tableColumn id="2" name=" Customer_Name"/>
    <tableColumn id="3" name="Order_ID"/>
    <tableColumn id="4" name="Order_Date" dataDxfId="3"/>
    <tableColumn id="5" name="Product"/>
    <tableColumn id="6" name=" Category">
      <calculatedColumnFormula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calculatedColumnFormula>
    </tableColumn>
    <tableColumn id="7" name="Quantity"/>
    <tableColumn id="8" name="Price"/>
    <tableColumn id="9" name="Payment_Method"/>
    <tableColumn id="10" name="Status"/>
    <tableColumn id="11" name="Total"/>
    <tableColumn id="12" name="Check_total" dataDxfId="4">
      <calculatedColumnFormula>IF(G2*H2=K2,"correct","incorrect")</calculatedColumnFormula>
    </tableColumn>
    <tableColumn id="14" name="clean_qty" dataDxfId="5">
      <calculatedColumnFormula>ABS(G2)</calculatedColumnFormula>
    </tableColumn>
    <tableColumn id="15" name="clean_price" dataDxfId="6">
      <calculatedColumnFormula>ABS(H2)</calculatedColumnFormula>
    </tableColumn>
    <tableColumn id="16" name="clean_total" dataDxfId="7">
      <calculatedColumnFormula>M2*N2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04"/>
  <sheetViews>
    <sheetView zoomScaleSheetLayoutView="60" workbookViewId="0">
      <selection activeCell="O3" sqref="O3"/>
    </sheetView>
  </sheetViews>
  <sheetFormatPr defaultColWidth="10.2857142857143" defaultRowHeight="15"/>
  <cols>
    <col min="1" max="1" width="11.5714285714286" customWidth="1"/>
    <col min="2" max="2" width="17.7142857142857" customWidth="1"/>
    <col min="3" max="3" width="11.2857142857143" customWidth="1"/>
    <col min="4" max="4" width="12.1428571428571" customWidth="1"/>
    <col min="5" max="5" width="14.1428571428571" customWidth="1"/>
    <col min="6" max="6" width="13.7142857142857" customWidth="1"/>
    <col min="7" max="7" width="9.28571428571429" customWidth="1"/>
    <col min="8" max="8" width="13.7142857142857" customWidth="1"/>
    <col min="9" max="9" width="18.2857142857143" customWidth="1"/>
    <col min="10" max="10" width="11.1428571428571" customWidth="1"/>
    <col min="11" max="11" width="13.4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>
      <c r="A3">
        <v>101</v>
      </c>
      <c r="B3" t="s">
        <v>18</v>
      </c>
      <c r="C3" t="s">
        <v>19</v>
      </c>
      <c r="D3" s="10">
        <v>45784</v>
      </c>
      <c r="E3" t="s">
        <v>20</v>
      </c>
      <c r="F3" t="s">
        <v>21</v>
      </c>
      <c r="G3">
        <v>2</v>
      </c>
      <c r="H3" t="s">
        <v>22</v>
      </c>
      <c r="I3" t="s">
        <v>23</v>
      </c>
      <c r="J3" t="s">
        <v>24</v>
      </c>
    </row>
    <row r="4" spans="1:11">
      <c r="A4">
        <v>102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>
      <c r="A5">
        <v>103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5</v>
      </c>
      <c r="H5">
        <v>233.92</v>
      </c>
      <c r="I5" t="s">
        <v>23</v>
      </c>
      <c r="J5" t="s">
        <v>24</v>
      </c>
      <c r="K5">
        <v>1169.6</v>
      </c>
    </row>
    <row r="6" spans="1:11">
      <c r="A6">
        <v>104</v>
      </c>
      <c r="B6" t="s">
        <v>36</v>
      </c>
      <c r="C6" t="s">
        <v>37</v>
      </c>
      <c r="D6" t="s">
        <v>38</v>
      </c>
      <c r="E6" t="s">
        <v>39</v>
      </c>
      <c r="F6" t="s">
        <v>35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>
      <c r="A7">
        <v>105</v>
      </c>
      <c r="B7" t="s">
        <v>40</v>
      </c>
      <c r="C7" t="s">
        <v>41</v>
      </c>
      <c r="D7" t="s">
        <v>42</v>
      </c>
      <c r="E7" t="s">
        <v>28</v>
      </c>
      <c r="F7" t="s">
        <v>29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>
      <c r="A8">
        <v>106</v>
      </c>
      <c r="B8" t="s">
        <v>44</v>
      </c>
      <c r="C8" t="s">
        <v>45</v>
      </c>
      <c r="D8" s="10">
        <v>45690</v>
      </c>
      <c r="E8" t="s">
        <v>14</v>
      </c>
      <c r="F8" t="s">
        <v>15</v>
      </c>
      <c r="H8">
        <v>978.63</v>
      </c>
      <c r="I8" t="s">
        <v>46</v>
      </c>
      <c r="J8" t="s">
        <v>24</v>
      </c>
    </row>
    <row r="9" spans="1:11">
      <c r="A9">
        <v>107</v>
      </c>
      <c r="B9" t="s">
        <v>47</v>
      </c>
      <c r="C9" t="s">
        <v>48</v>
      </c>
      <c r="D9" s="10">
        <v>45717</v>
      </c>
      <c r="E9" t="s">
        <v>39</v>
      </c>
      <c r="F9" t="s">
        <v>35</v>
      </c>
      <c r="G9">
        <v>5</v>
      </c>
      <c r="H9">
        <v>587.68</v>
      </c>
      <c r="I9" t="s">
        <v>23</v>
      </c>
      <c r="J9" t="s">
        <v>49</v>
      </c>
      <c r="K9">
        <v>2938.4</v>
      </c>
    </row>
    <row r="10" spans="1:11">
      <c r="A10">
        <v>108</v>
      </c>
      <c r="B10" t="s">
        <v>50</v>
      </c>
      <c r="C10" t="s">
        <v>51</v>
      </c>
      <c r="D10" t="s">
        <v>52</v>
      </c>
      <c r="E10" t="s">
        <v>34</v>
      </c>
      <c r="F10" t="s">
        <v>35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>
      <c r="A11">
        <v>109</v>
      </c>
      <c r="B11" t="s">
        <v>53</v>
      </c>
      <c r="C11" t="s">
        <v>54</v>
      </c>
      <c r="D11" s="10">
        <v>45721</v>
      </c>
      <c r="E11" t="s">
        <v>28</v>
      </c>
      <c r="F11" t="s">
        <v>29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5</v>
      </c>
      <c r="H12" t="s">
        <v>61</v>
      </c>
      <c r="I12" t="s">
        <v>16</v>
      </c>
      <c r="J12" t="s">
        <v>43</v>
      </c>
    </row>
    <row r="13" spans="1:11">
      <c r="A13">
        <v>111</v>
      </c>
      <c r="B13" t="s">
        <v>62</v>
      </c>
      <c r="C13" t="s">
        <v>63</v>
      </c>
      <c r="D13" t="s">
        <v>64</v>
      </c>
      <c r="E13" t="s">
        <v>65</v>
      </c>
      <c r="F13" t="s">
        <v>35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>
      <c r="A14">
        <v>112</v>
      </c>
      <c r="B14" t="s">
        <v>66</v>
      </c>
      <c r="C14" t="s">
        <v>67</v>
      </c>
      <c r="D14" s="10">
        <v>45691</v>
      </c>
      <c r="E14" t="s">
        <v>68</v>
      </c>
      <c r="F14" t="s">
        <v>69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>
      <c r="A15">
        <v>113</v>
      </c>
      <c r="B15" t="s">
        <v>70</v>
      </c>
      <c r="C15" t="s">
        <v>71</v>
      </c>
      <c r="D15" t="s">
        <v>72</v>
      </c>
      <c r="E15" t="s">
        <v>73</v>
      </c>
      <c r="F15" t="s">
        <v>35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>
      <c r="A16">
        <v>114</v>
      </c>
      <c r="B16" t="s">
        <v>74</v>
      </c>
      <c r="C16" t="s">
        <v>75</v>
      </c>
      <c r="D16" t="s">
        <v>76</v>
      </c>
      <c r="E16" t="s">
        <v>20</v>
      </c>
      <c r="F16" t="s">
        <v>21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>
      <c r="A17">
        <v>115</v>
      </c>
      <c r="B17" t="s">
        <v>77</v>
      </c>
      <c r="C17" t="s">
        <v>78</v>
      </c>
      <c r="D17" s="10">
        <v>45931</v>
      </c>
      <c r="E17" t="s">
        <v>73</v>
      </c>
      <c r="F17" t="s">
        <v>35</v>
      </c>
      <c r="G17">
        <v>2</v>
      </c>
      <c r="H17">
        <v>796.84</v>
      </c>
      <c r="I17" t="s">
        <v>16</v>
      </c>
      <c r="J17" t="s">
        <v>49</v>
      </c>
      <c r="K17">
        <v>1115.576</v>
      </c>
    </row>
    <row r="18" spans="1:11">
      <c r="A18">
        <v>116</v>
      </c>
      <c r="B18" t="s">
        <v>79</v>
      </c>
      <c r="C18" t="s">
        <v>80</v>
      </c>
      <c r="D18" t="s">
        <v>81</v>
      </c>
      <c r="E18" t="s">
        <v>82</v>
      </c>
      <c r="F18" t="s">
        <v>15</v>
      </c>
      <c r="G18">
        <v>4</v>
      </c>
      <c r="I18" t="s">
        <v>16</v>
      </c>
      <c r="J18" t="s">
        <v>24</v>
      </c>
    </row>
    <row r="19" spans="1:11">
      <c r="A19">
        <v>117</v>
      </c>
      <c r="B19" t="s">
        <v>83</v>
      </c>
      <c r="C19" t="s">
        <v>84</v>
      </c>
      <c r="D19" s="10">
        <v>45993</v>
      </c>
      <c r="E19" t="s">
        <v>14</v>
      </c>
      <c r="F19" t="s">
        <v>85</v>
      </c>
      <c r="G19">
        <v>-2</v>
      </c>
      <c r="H19">
        <v>10000</v>
      </c>
      <c r="I19" t="s">
        <v>16</v>
      </c>
      <c r="J19" t="s">
        <v>24</v>
      </c>
      <c r="K19">
        <v>-20000</v>
      </c>
    </row>
    <row r="20" spans="1:11">
      <c r="A20">
        <v>118</v>
      </c>
      <c r="B20" t="s">
        <v>86</v>
      </c>
      <c r="C20" t="s">
        <v>87</v>
      </c>
      <c r="D20" t="s">
        <v>88</v>
      </c>
      <c r="E20" t="s">
        <v>34</v>
      </c>
      <c r="F20" t="s">
        <v>35</v>
      </c>
      <c r="G20">
        <v>5</v>
      </c>
      <c r="H20">
        <v>247.82</v>
      </c>
      <c r="I20" t="s">
        <v>23</v>
      </c>
      <c r="J20" t="s">
        <v>24</v>
      </c>
      <c r="K20">
        <v>1239.1</v>
      </c>
    </row>
    <row r="21" spans="1:11">
      <c r="A21">
        <v>119</v>
      </c>
      <c r="B21" t="s">
        <v>89</v>
      </c>
      <c r="C21" t="s">
        <v>90</v>
      </c>
      <c r="D21" t="s">
        <v>91</v>
      </c>
      <c r="E21" t="s">
        <v>59</v>
      </c>
      <c r="F21" t="s">
        <v>29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>
      <c r="A22">
        <v>120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>
        <v>5</v>
      </c>
      <c r="H22" t="s">
        <v>97</v>
      </c>
      <c r="I22" t="s">
        <v>55</v>
      </c>
      <c r="J22" t="s">
        <v>43</v>
      </c>
    </row>
    <row r="23" spans="1:11">
      <c r="A23">
        <v>121</v>
      </c>
      <c r="B23" t="s">
        <v>98</v>
      </c>
      <c r="C23" t="s">
        <v>99</v>
      </c>
      <c r="D23" s="10">
        <v>45971</v>
      </c>
      <c r="E23" t="s">
        <v>59</v>
      </c>
      <c r="F23" t="s">
        <v>29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>
      <c r="A24">
        <v>122</v>
      </c>
      <c r="B24" t="s">
        <v>100</v>
      </c>
      <c r="C24" t="s">
        <v>101</v>
      </c>
      <c r="D24" t="s">
        <v>102</v>
      </c>
      <c r="E24" t="s">
        <v>82</v>
      </c>
      <c r="F24" t="s">
        <v>15</v>
      </c>
      <c r="G24">
        <v>2</v>
      </c>
      <c r="H24">
        <v>556.93</v>
      </c>
      <c r="I24" t="s">
        <v>23</v>
      </c>
      <c r="J24" t="s">
        <v>17</v>
      </c>
      <c r="K24">
        <v>1113.86</v>
      </c>
    </row>
    <row r="25" spans="1:11">
      <c r="A25">
        <v>123</v>
      </c>
      <c r="B25" t="s">
        <v>103</v>
      </c>
      <c r="C25" t="s">
        <v>104</v>
      </c>
      <c r="D25" s="10">
        <v>45818</v>
      </c>
      <c r="E25" t="s">
        <v>105</v>
      </c>
      <c r="F25" t="s">
        <v>85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>
      <c r="A26">
        <v>124</v>
      </c>
      <c r="B26" t="s">
        <v>106</v>
      </c>
      <c r="C26" t="s">
        <v>107</v>
      </c>
      <c r="D26" t="s">
        <v>88</v>
      </c>
      <c r="E26" t="s">
        <v>65</v>
      </c>
      <c r="F26" t="s">
        <v>35</v>
      </c>
      <c r="G26">
        <v>5</v>
      </c>
      <c r="I26" t="s">
        <v>23</v>
      </c>
      <c r="J26" t="s">
        <v>43</v>
      </c>
    </row>
    <row r="27" spans="1:11">
      <c r="A27">
        <v>125</v>
      </c>
      <c r="B27" t="s">
        <v>108</v>
      </c>
      <c r="C27" t="s">
        <v>109</v>
      </c>
      <c r="D27" s="10">
        <v>45902</v>
      </c>
      <c r="E27" t="s">
        <v>65</v>
      </c>
      <c r="F27" t="s">
        <v>35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>
      <c r="A28">
        <v>126</v>
      </c>
      <c r="B28" t="s">
        <v>110</v>
      </c>
      <c r="C28" t="s">
        <v>111</v>
      </c>
      <c r="D28" t="s">
        <v>112</v>
      </c>
      <c r="E28" t="s">
        <v>68</v>
      </c>
      <c r="F28" t="s">
        <v>69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>
      <c r="A29">
        <v>127</v>
      </c>
      <c r="B29" t="s">
        <v>113</v>
      </c>
      <c r="C29" t="s">
        <v>114</v>
      </c>
      <c r="D29" s="10">
        <v>45996</v>
      </c>
      <c r="E29" t="s">
        <v>14</v>
      </c>
      <c r="F29" t="s">
        <v>15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>
      <c r="A30">
        <v>128</v>
      </c>
      <c r="B30" t="s">
        <v>115</v>
      </c>
      <c r="C30" t="s">
        <v>116</v>
      </c>
      <c r="D30" s="10">
        <v>45576</v>
      </c>
      <c r="E30" t="s">
        <v>117</v>
      </c>
      <c r="F30" t="s">
        <v>118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>
      <c r="A31">
        <v>129</v>
      </c>
      <c r="B31" t="s">
        <v>119</v>
      </c>
      <c r="C31" t="s">
        <v>120</v>
      </c>
      <c r="D31" t="s">
        <v>121</v>
      </c>
      <c r="E31" t="s">
        <v>34</v>
      </c>
      <c r="F31" t="s">
        <v>35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>
      <c r="A32">
        <v>130</v>
      </c>
      <c r="B32" t="s">
        <v>122</v>
      </c>
      <c r="C32" t="s">
        <v>123</v>
      </c>
      <c r="D32" t="s">
        <v>124</v>
      </c>
      <c r="E32" t="s">
        <v>28</v>
      </c>
      <c r="F32" t="s">
        <v>29</v>
      </c>
      <c r="G32">
        <v>2</v>
      </c>
      <c r="I32" t="s">
        <v>46</v>
      </c>
      <c r="J32" t="s">
        <v>24</v>
      </c>
    </row>
    <row r="33" spans="1:11">
      <c r="A33">
        <v>131</v>
      </c>
      <c r="B33" t="s">
        <v>125</v>
      </c>
      <c r="C33" t="s">
        <v>126</v>
      </c>
      <c r="D33" s="10">
        <v>45967</v>
      </c>
      <c r="E33" t="s">
        <v>117</v>
      </c>
      <c r="F33" t="s">
        <v>15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>
      <c r="A34">
        <v>132</v>
      </c>
      <c r="B34" t="s">
        <v>127</v>
      </c>
      <c r="C34" t="s">
        <v>128</v>
      </c>
      <c r="D34" s="10">
        <v>45692</v>
      </c>
      <c r="E34" t="s">
        <v>95</v>
      </c>
      <c r="F34" t="s">
        <v>96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>
      <c r="A35">
        <v>133</v>
      </c>
      <c r="B35" t="s">
        <v>129</v>
      </c>
      <c r="C35" t="s">
        <v>130</v>
      </c>
      <c r="D35" s="10">
        <v>45424</v>
      </c>
      <c r="E35" t="s">
        <v>39</v>
      </c>
      <c r="F35" t="s">
        <v>131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>
      <c r="A36">
        <v>134</v>
      </c>
      <c r="B36" t="s">
        <v>132</v>
      </c>
      <c r="C36" t="s">
        <v>133</v>
      </c>
      <c r="D36" s="10">
        <v>45757</v>
      </c>
      <c r="E36" t="s">
        <v>134</v>
      </c>
      <c r="F36" t="s">
        <v>69</v>
      </c>
      <c r="G36">
        <v>-5</v>
      </c>
      <c r="H36">
        <v>591.53</v>
      </c>
      <c r="I36" t="s">
        <v>23</v>
      </c>
      <c r="J36" t="s">
        <v>17</v>
      </c>
      <c r="K36">
        <v>-2957.65</v>
      </c>
    </row>
    <row r="37" spans="1:11">
      <c r="A37">
        <v>135</v>
      </c>
      <c r="B37" t="s">
        <v>135</v>
      </c>
      <c r="C37" t="s">
        <v>136</v>
      </c>
      <c r="D37" s="10">
        <v>45902</v>
      </c>
      <c r="E37" t="s">
        <v>137</v>
      </c>
      <c r="F37" t="s">
        <v>118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>
      <c r="A38">
        <v>136</v>
      </c>
      <c r="B38" t="s">
        <v>138</v>
      </c>
      <c r="C38" t="s">
        <v>139</v>
      </c>
      <c r="D38" s="10">
        <v>45997</v>
      </c>
      <c r="E38" t="s">
        <v>140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>
      <c r="A39">
        <v>137</v>
      </c>
      <c r="B39" t="s">
        <v>141</v>
      </c>
      <c r="C39" t="s">
        <v>142</v>
      </c>
      <c r="D39" t="s">
        <v>143</v>
      </c>
      <c r="E39" t="s">
        <v>105</v>
      </c>
      <c r="F39" t="s">
        <v>15</v>
      </c>
      <c r="G39">
        <v>3</v>
      </c>
      <c r="H39">
        <v>-100</v>
      </c>
      <c r="I39" t="s">
        <v>16</v>
      </c>
      <c r="J39" t="s">
        <v>30</v>
      </c>
      <c r="K39">
        <v>-300</v>
      </c>
    </row>
    <row r="40" spans="1:11">
      <c r="A40">
        <v>138</v>
      </c>
      <c r="B40" t="s">
        <v>144</v>
      </c>
      <c r="C40" t="s">
        <v>145</v>
      </c>
      <c r="D40" s="10">
        <v>45908</v>
      </c>
      <c r="E40" t="s">
        <v>117</v>
      </c>
      <c r="F40" t="s">
        <v>15</v>
      </c>
      <c r="G40">
        <v>1</v>
      </c>
      <c r="H40">
        <v>531.06</v>
      </c>
      <c r="I40" t="s">
        <v>23</v>
      </c>
      <c r="J40" t="s">
        <v>24</v>
      </c>
      <c r="K40">
        <v>531.06</v>
      </c>
    </row>
    <row r="41" spans="1:11">
      <c r="A41">
        <v>139</v>
      </c>
      <c r="B41" t="s">
        <v>146</v>
      </c>
      <c r="C41" t="s">
        <v>147</v>
      </c>
      <c r="D41" s="10">
        <v>45902</v>
      </c>
      <c r="E41" t="s">
        <v>20</v>
      </c>
      <c r="F41" t="s">
        <v>21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>
      <c r="A42">
        <v>140</v>
      </c>
      <c r="B42" t="s">
        <v>148</v>
      </c>
      <c r="C42" t="s">
        <v>149</v>
      </c>
      <c r="D42" t="s">
        <v>150</v>
      </c>
      <c r="E42" t="s">
        <v>73</v>
      </c>
      <c r="F42" t="s">
        <v>35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>
      <c r="A43">
        <v>141</v>
      </c>
      <c r="B43" t="s">
        <v>151</v>
      </c>
      <c r="C43" t="s">
        <v>152</v>
      </c>
      <c r="D43" t="s">
        <v>153</v>
      </c>
      <c r="E43" t="s">
        <v>73</v>
      </c>
      <c r="F43" t="s">
        <v>35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>
      <c r="A44">
        <v>142</v>
      </c>
      <c r="B44" t="s">
        <v>154</v>
      </c>
      <c r="C44" t="s">
        <v>155</v>
      </c>
      <c r="D44" t="s">
        <v>81</v>
      </c>
      <c r="E44" t="s">
        <v>68</v>
      </c>
      <c r="F44" t="s">
        <v>69</v>
      </c>
      <c r="G44">
        <v>5</v>
      </c>
      <c r="H44">
        <v>645.26</v>
      </c>
      <c r="I44" t="s">
        <v>55</v>
      </c>
      <c r="J44" t="s">
        <v>17</v>
      </c>
      <c r="K44">
        <v>2258.41</v>
      </c>
    </row>
    <row r="45" spans="1:11">
      <c r="A45">
        <v>143</v>
      </c>
      <c r="B45" t="s">
        <v>156</v>
      </c>
      <c r="C45" t="s">
        <v>157</v>
      </c>
      <c r="D45" s="10">
        <v>45968</v>
      </c>
      <c r="E45" t="s">
        <v>134</v>
      </c>
      <c r="F45" t="s">
        <v>69</v>
      </c>
      <c r="G45">
        <v>5</v>
      </c>
      <c r="H45">
        <v>826.77</v>
      </c>
      <c r="I45" t="s">
        <v>46</v>
      </c>
      <c r="J45" t="s">
        <v>43</v>
      </c>
      <c r="K45">
        <v>4133.85</v>
      </c>
    </row>
    <row r="46" spans="1:11">
      <c r="A46">
        <v>144</v>
      </c>
      <c r="B46" t="s">
        <v>158</v>
      </c>
      <c r="C46" t="s">
        <v>159</v>
      </c>
      <c r="D46" t="s">
        <v>160</v>
      </c>
      <c r="E46" t="s">
        <v>161</v>
      </c>
      <c r="F46" t="s">
        <v>29</v>
      </c>
      <c r="G46">
        <v>5</v>
      </c>
      <c r="H46">
        <v>849.07</v>
      </c>
      <c r="I46" t="s">
        <v>46</v>
      </c>
      <c r="J46" t="s">
        <v>24</v>
      </c>
      <c r="K46">
        <v>4245.35</v>
      </c>
    </row>
    <row r="47" spans="1:11">
      <c r="A47">
        <v>145</v>
      </c>
      <c r="B47" t="s">
        <v>162</v>
      </c>
      <c r="C47" t="s">
        <v>163</v>
      </c>
      <c r="D47" s="10">
        <v>44931</v>
      </c>
      <c r="E47" t="s">
        <v>164</v>
      </c>
      <c r="F47" t="s">
        <v>21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>
      <c r="A48">
        <v>146</v>
      </c>
      <c r="B48" t="s">
        <v>165</v>
      </c>
      <c r="C48" t="s">
        <v>166</v>
      </c>
      <c r="D48" s="10">
        <v>45907</v>
      </c>
      <c r="E48" t="s">
        <v>59</v>
      </c>
      <c r="F48" t="s">
        <v>85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>
      <c r="A49">
        <v>147</v>
      </c>
      <c r="B49" t="s">
        <v>167</v>
      </c>
      <c r="C49" t="s">
        <v>168</v>
      </c>
      <c r="D49" s="10">
        <v>45662</v>
      </c>
      <c r="E49" t="s">
        <v>169</v>
      </c>
      <c r="F49" t="s">
        <v>69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>
      <c r="A50">
        <v>148</v>
      </c>
      <c r="B50" t="s">
        <v>170</v>
      </c>
      <c r="C50" t="s">
        <v>171</v>
      </c>
      <c r="D50" t="s">
        <v>172</v>
      </c>
      <c r="E50" t="s">
        <v>28</v>
      </c>
      <c r="F50" t="s">
        <v>29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>
      <c r="A51">
        <v>149</v>
      </c>
      <c r="B51" t="s">
        <v>173</v>
      </c>
      <c r="C51" t="s">
        <v>174</v>
      </c>
      <c r="D51" t="s">
        <v>175</v>
      </c>
      <c r="E51" t="s">
        <v>65</v>
      </c>
      <c r="F51" t="s">
        <v>35</v>
      </c>
      <c r="G51">
        <v>5</v>
      </c>
      <c r="H51">
        <v>896.38</v>
      </c>
      <c r="I51" t="s">
        <v>46</v>
      </c>
      <c r="J51" t="s">
        <v>43</v>
      </c>
      <c r="K51">
        <v>4481.9</v>
      </c>
    </row>
    <row r="52" spans="1:11">
      <c r="A52">
        <v>150</v>
      </c>
      <c r="B52" t="s">
        <v>176</v>
      </c>
      <c r="C52" t="s">
        <v>177</v>
      </c>
      <c r="D52" t="s">
        <v>178</v>
      </c>
      <c r="E52" t="s">
        <v>95</v>
      </c>
      <c r="F52" t="s">
        <v>29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>
      <c r="A53">
        <v>151</v>
      </c>
      <c r="B53" t="s">
        <v>179</v>
      </c>
      <c r="C53" t="s">
        <v>180</v>
      </c>
      <c r="D53" s="10">
        <v>45664</v>
      </c>
      <c r="E53" t="s">
        <v>65</v>
      </c>
      <c r="F53" t="s">
        <v>35</v>
      </c>
      <c r="G53">
        <v>2</v>
      </c>
      <c r="H53">
        <v>457.16</v>
      </c>
      <c r="I53" t="s">
        <v>23</v>
      </c>
      <c r="J53" t="s">
        <v>24</v>
      </c>
      <c r="K53">
        <v>640.024</v>
      </c>
    </row>
    <row r="54" spans="1:11">
      <c r="A54">
        <v>152</v>
      </c>
      <c r="B54" t="s">
        <v>181</v>
      </c>
      <c r="C54" t="s">
        <v>182</v>
      </c>
      <c r="D54" t="s">
        <v>183</v>
      </c>
      <c r="E54" t="s">
        <v>117</v>
      </c>
      <c r="F54" t="s">
        <v>15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>
      <c r="A55">
        <v>153</v>
      </c>
      <c r="B55" t="s">
        <v>184</v>
      </c>
      <c r="C55" t="s">
        <v>185</v>
      </c>
      <c r="D55" t="s">
        <v>186</v>
      </c>
      <c r="E55" t="s">
        <v>95</v>
      </c>
      <c r="F55" t="s">
        <v>29</v>
      </c>
      <c r="G55">
        <v>4</v>
      </c>
      <c r="H55">
        <v>278.9</v>
      </c>
      <c r="I55" t="s">
        <v>16</v>
      </c>
      <c r="J55" t="s">
        <v>24</v>
      </c>
      <c r="K55">
        <v>1115.6</v>
      </c>
    </row>
    <row r="56" spans="1:11">
      <c r="A56">
        <v>154</v>
      </c>
      <c r="B56" t="s">
        <v>187</v>
      </c>
      <c r="C56" t="s">
        <v>188</v>
      </c>
      <c r="D56" t="s">
        <v>189</v>
      </c>
      <c r="E56" t="s">
        <v>14</v>
      </c>
      <c r="F56" t="s">
        <v>15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>
      <c r="A57">
        <v>155</v>
      </c>
      <c r="B57" t="s">
        <v>190</v>
      </c>
      <c r="C57" t="s">
        <v>191</v>
      </c>
      <c r="D57" s="10">
        <v>45662</v>
      </c>
      <c r="E57" t="s">
        <v>192</v>
      </c>
      <c r="F57" t="s">
        <v>69</v>
      </c>
      <c r="G57">
        <v>1</v>
      </c>
      <c r="H57">
        <v>40.95</v>
      </c>
      <c r="I57" t="s">
        <v>23</v>
      </c>
      <c r="J57" t="s">
        <v>49</v>
      </c>
      <c r="K57">
        <v>40.95</v>
      </c>
    </row>
    <row r="58" spans="1:11">
      <c r="A58">
        <v>156</v>
      </c>
      <c r="B58" t="s">
        <v>193</v>
      </c>
      <c r="C58" t="s">
        <v>194</v>
      </c>
      <c r="D58" t="s">
        <v>195</v>
      </c>
      <c r="E58" t="s">
        <v>196</v>
      </c>
      <c r="F58" t="s">
        <v>69</v>
      </c>
      <c r="G58">
        <v>2</v>
      </c>
      <c r="I58" t="s">
        <v>46</v>
      </c>
      <c r="J58" t="s">
        <v>17</v>
      </c>
    </row>
    <row r="59" spans="1:11">
      <c r="A59">
        <v>157</v>
      </c>
      <c r="B59" t="s">
        <v>197</v>
      </c>
      <c r="C59" t="s">
        <v>198</v>
      </c>
      <c r="D59" s="10">
        <v>45819</v>
      </c>
      <c r="E59" t="s">
        <v>169</v>
      </c>
      <c r="F59" t="s">
        <v>69</v>
      </c>
      <c r="G59">
        <v>4</v>
      </c>
      <c r="H59">
        <v>275.1</v>
      </c>
      <c r="I59" t="s">
        <v>46</v>
      </c>
      <c r="J59" t="s">
        <v>24</v>
      </c>
      <c r="K59">
        <v>1100.4</v>
      </c>
    </row>
    <row r="60" spans="1:11">
      <c r="A60">
        <v>158</v>
      </c>
      <c r="B60" t="s">
        <v>199</v>
      </c>
      <c r="C60" t="s">
        <v>200</v>
      </c>
      <c r="D60" s="10">
        <v>45781</v>
      </c>
      <c r="E60" t="s">
        <v>137</v>
      </c>
      <c r="F60" t="s">
        <v>21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>
      <c r="A61">
        <v>159</v>
      </c>
      <c r="B61" t="s">
        <v>201</v>
      </c>
      <c r="C61" t="s">
        <v>202</v>
      </c>
      <c r="D61" t="s">
        <v>203</v>
      </c>
      <c r="E61" t="s">
        <v>82</v>
      </c>
      <c r="F61" t="s">
        <v>15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>
      <c r="A62">
        <v>160</v>
      </c>
      <c r="B62" t="s">
        <v>204</v>
      </c>
      <c r="C62" t="s">
        <v>205</v>
      </c>
      <c r="D62" s="10">
        <v>45717</v>
      </c>
      <c r="E62" t="s">
        <v>34</v>
      </c>
      <c r="F62" t="s">
        <v>35</v>
      </c>
      <c r="G62">
        <v>5</v>
      </c>
      <c r="H62">
        <v>242.52</v>
      </c>
      <c r="I62" t="s">
        <v>16</v>
      </c>
      <c r="J62" t="s">
        <v>49</v>
      </c>
      <c r="K62">
        <v>1212.6</v>
      </c>
    </row>
    <row r="63" spans="1:11">
      <c r="A63">
        <v>161</v>
      </c>
      <c r="B63" t="s">
        <v>206</v>
      </c>
      <c r="C63" t="s">
        <v>207</v>
      </c>
      <c r="D63" t="s">
        <v>208</v>
      </c>
      <c r="E63" t="s">
        <v>34</v>
      </c>
      <c r="F63" t="s">
        <v>35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>
      <c r="A64">
        <v>162</v>
      </c>
      <c r="B64" t="s">
        <v>209</v>
      </c>
      <c r="C64" t="s">
        <v>210</v>
      </c>
      <c r="D64" t="s">
        <v>211</v>
      </c>
      <c r="E64" t="s">
        <v>14</v>
      </c>
      <c r="F64" t="s">
        <v>15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>
      <c r="A65">
        <v>163</v>
      </c>
      <c r="B65" t="s">
        <v>212</v>
      </c>
      <c r="C65" t="s">
        <v>213</v>
      </c>
      <c r="D65" s="10">
        <v>45047</v>
      </c>
      <c r="E65" t="s">
        <v>137</v>
      </c>
      <c r="F65" t="s">
        <v>21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>
      <c r="A66">
        <v>164</v>
      </c>
      <c r="B66" t="s">
        <v>214</v>
      </c>
      <c r="C66" t="s">
        <v>215</v>
      </c>
      <c r="D66" s="10">
        <v>45902</v>
      </c>
      <c r="E66" t="s">
        <v>28</v>
      </c>
      <c r="F66" t="s">
        <v>29</v>
      </c>
      <c r="H66">
        <v>587.64</v>
      </c>
      <c r="I66" t="s">
        <v>55</v>
      </c>
      <c r="J66" t="s">
        <v>49</v>
      </c>
    </row>
    <row r="67" spans="1:11">
      <c r="A67">
        <v>165</v>
      </c>
      <c r="B67" t="s">
        <v>216</v>
      </c>
      <c r="C67" t="s">
        <v>217</v>
      </c>
      <c r="D67" s="10">
        <v>45515</v>
      </c>
      <c r="E67" t="s">
        <v>68</v>
      </c>
      <c r="F67" t="s">
        <v>69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>
      <c r="A68">
        <v>166</v>
      </c>
      <c r="B68" t="s">
        <v>218</v>
      </c>
      <c r="C68" t="s">
        <v>219</v>
      </c>
      <c r="D68" s="10">
        <v>45723</v>
      </c>
      <c r="E68" t="s">
        <v>134</v>
      </c>
      <c r="F68" t="s">
        <v>118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>
      <c r="A69">
        <v>167</v>
      </c>
      <c r="B69" t="s">
        <v>220</v>
      </c>
      <c r="C69" t="s">
        <v>221</v>
      </c>
      <c r="D69" s="10">
        <v>45846</v>
      </c>
      <c r="E69" t="s">
        <v>59</v>
      </c>
      <c r="F69" t="s">
        <v>29</v>
      </c>
      <c r="H69">
        <v>593.93</v>
      </c>
      <c r="I69" t="s">
        <v>16</v>
      </c>
      <c r="J69" t="s">
        <v>24</v>
      </c>
    </row>
    <row r="70" spans="1:11">
      <c r="A70">
        <v>168</v>
      </c>
      <c r="B70" t="s">
        <v>222</v>
      </c>
      <c r="C70" t="s">
        <v>223</v>
      </c>
      <c r="D70" s="10">
        <v>45758</v>
      </c>
      <c r="E70" t="s">
        <v>39</v>
      </c>
      <c r="F70" t="s">
        <v>35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>
      <c r="A71">
        <v>169</v>
      </c>
      <c r="B71" t="s">
        <v>224</v>
      </c>
      <c r="C71" t="s">
        <v>225</v>
      </c>
      <c r="D71" s="10">
        <v>45999</v>
      </c>
      <c r="E71" t="s">
        <v>59</v>
      </c>
      <c r="F71" t="s">
        <v>29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>
      <c r="A72">
        <v>170</v>
      </c>
      <c r="B72" t="s">
        <v>226</v>
      </c>
      <c r="C72" t="s">
        <v>227</v>
      </c>
      <c r="D72" s="10">
        <v>45726</v>
      </c>
      <c r="E72" t="s">
        <v>196</v>
      </c>
      <c r="F72" t="s">
        <v>69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>
      <c r="A73">
        <v>171</v>
      </c>
      <c r="B73" t="s">
        <v>228</v>
      </c>
      <c r="C73" t="s">
        <v>229</v>
      </c>
      <c r="D73" s="10">
        <v>45455</v>
      </c>
      <c r="E73" t="s">
        <v>68</v>
      </c>
      <c r="F73" t="s">
        <v>69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>
      <c r="A74">
        <v>172</v>
      </c>
      <c r="B74" t="s">
        <v>230</v>
      </c>
      <c r="C74" t="s">
        <v>231</v>
      </c>
      <c r="D74" t="s">
        <v>232</v>
      </c>
      <c r="E74" t="s">
        <v>65</v>
      </c>
      <c r="F74" t="s">
        <v>35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>
      <c r="A75">
        <v>173</v>
      </c>
      <c r="B75" t="s">
        <v>233</v>
      </c>
      <c r="C75" t="s">
        <v>234</v>
      </c>
      <c r="D75" s="10">
        <v>45971</v>
      </c>
      <c r="E75" t="s">
        <v>117</v>
      </c>
      <c r="F75" t="s">
        <v>15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>
      <c r="A76">
        <v>174</v>
      </c>
      <c r="B76" t="s">
        <v>235</v>
      </c>
      <c r="C76" t="s">
        <v>236</v>
      </c>
      <c r="D76" t="s">
        <v>237</v>
      </c>
      <c r="E76" t="s">
        <v>82</v>
      </c>
      <c r="F76" t="s">
        <v>96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>
      <c r="A77">
        <v>175</v>
      </c>
      <c r="B77" t="s">
        <v>238</v>
      </c>
      <c r="C77" t="s">
        <v>239</v>
      </c>
      <c r="D77" t="s">
        <v>240</v>
      </c>
      <c r="E77" t="s">
        <v>140</v>
      </c>
      <c r="F77" t="s">
        <v>21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>
      <c r="A78">
        <v>176</v>
      </c>
      <c r="B78" t="s">
        <v>241</v>
      </c>
      <c r="C78" t="s">
        <v>242</v>
      </c>
      <c r="D78" t="s">
        <v>243</v>
      </c>
      <c r="E78" t="s">
        <v>65</v>
      </c>
      <c r="F78" t="s">
        <v>35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>
      <c r="A79">
        <v>177</v>
      </c>
      <c r="B79" t="s">
        <v>244</v>
      </c>
      <c r="C79" t="s">
        <v>245</v>
      </c>
      <c r="D79" t="s">
        <v>203</v>
      </c>
      <c r="E79" t="s">
        <v>164</v>
      </c>
      <c r="F79" t="s">
        <v>21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>
      <c r="A80">
        <v>178</v>
      </c>
      <c r="B80" t="s">
        <v>246</v>
      </c>
      <c r="C80" t="s">
        <v>247</v>
      </c>
      <c r="D80" t="s">
        <v>248</v>
      </c>
      <c r="E80" t="s">
        <v>28</v>
      </c>
      <c r="F80" t="s">
        <v>29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>
      <c r="A81">
        <v>179</v>
      </c>
      <c r="B81" t="s">
        <v>249</v>
      </c>
      <c r="C81" t="s">
        <v>250</v>
      </c>
      <c r="D81" s="10">
        <v>45725</v>
      </c>
      <c r="E81" t="s">
        <v>95</v>
      </c>
      <c r="F81" t="s">
        <v>29</v>
      </c>
      <c r="G81">
        <v>3</v>
      </c>
      <c r="H81">
        <v>868.67</v>
      </c>
      <c r="I81" t="s">
        <v>23</v>
      </c>
      <c r="J81" t="s">
        <v>30</v>
      </c>
      <c r="K81">
        <v>2606.01</v>
      </c>
    </row>
    <row r="82" spans="1:11">
      <c r="A82">
        <v>180</v>
      </c>
      <c r="B82" t="s">
        <v>251</v>
      </c>
      <c r="C82" t="s">
        <v>252</v>
      </c>
      <c r="D82" t="s">
        <v>253</v>
      </c>
      <c r="E82" t="s">
        <v>164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>
      <c r="A83">
        <v>181</v>
      </c>
      <c r="B83" t="s">
        <v>254</v>
      </c>
      <c r="C83" t="s">
        <v>255</v>
      </c>
      <c r="D83" t="s">
        <v>256</v>
      </c>
      <c r="E83" t="s">
        <v>20</v>
      </c>
      <c r="F83" t="s">
        <v>131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>
      <c r="A84">
        <v>182</v>
      </c>
      <c r="B84" t="s">
        <v>257</v>
      </c>
      <c r="C84" t="s">
        <v>258</v>
      </c>
      <c r="D84" s="10">
        <v>45724</v>
      </c>
      <c r="E84" t="s">
        <v>68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>
      <c r="A85">
        <v>183</v>
      </c>
      <c r="B85" t="s">
        <v>259</v>
      </c>
      <c r="C85" t="s">
        <v>260</v>
      </c>
      <c r="D85" s="10">
        <v>45933</v>
      </c>
      <c r="E85" t="s">
        <v>68</v>
      </c>
      <c r="F85" t="s">
        <v>69</v>
      </c>
      <c r="G85">
        <v>5</v>
      </c>
      <c r="I85" t="s">
        <v>16</v>
      </c>
      <c r="J85" t="s">
        <v>49</v>
      </c>
    </row>
    <row r="86" spans="1:11">
      <c r="A86">
        <v>184</v>
      </c>
      <c r="B86" t="s">
        <v>261</v>
      </c>
      <c r="C86" t="s">
        <v>262</v>
      </c>
      <c r="D86" t="s">
        <v>263</v>
      </c>
      <c r="E86" t="s">
        <v>196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>
      <c r="A87">
        <v>185</v>
      </c>
      <c r="B87" t="s">
        <v>264</v>
      </c>
      <c r="C87" t="s">
        <v>265</v>
      </c>
      <c r="D87" t="s">
        <v>266</v>
      </c>
      <c r="E87" t="s">
        <v>161</v>
      </c>
      <c r="F87" t="s">
        <v>29</v>
      </c>
      <c r="G87">
        <v>2</v>
      </c>
      <c r="H87">
        <v>730.92</v>
      </c>
      <c r="I87" t="s">
        <v>16</v>
      </c>
      <c r="J87" t="s">
        <v>43</v>
      </c>
      <c r="K87">
        <v>1023.288</v>
      </c>
    </row>
    <row r="88" spans="1:11">
      <c r="A88">
        <v>186</v>
      </c>
      <c r="B88" t="s">
        <v>267</v>
      </c>
      <c r="C88" t="s">
        <v>268</v>
      </c>
      <c r="D88" s="10">
        <v>45818</v>
      </c>
      <c r="E88" t="s">
        <v>164</v>
      </c>
      <c r="F88" t="s">
        <v>21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>
      <c r="A89">
        <v>187</v>
      </c>
      <c r="B89" t="s">
        <v>269</v>
      </c>
      <c r="C89" t="s">
        <v>270</v>
      </c>
      <c r="D89" t="s">
        <v>271</v>
      </c>
      <c r="E89" t="s">
        <v>20</v>
      </c>
      <c r="F89" t="s">
        <v>21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>
      <c r="A90">
        <v>188</v>
      </c>
      <c r="B90" t="s">
        <v>272</v>
      </c>
      <c r="C90" t="s">
        <v>273</v>
      </c>
      <c r="D90" t="s">
        <v>271</v>
      </c>
      <c r="E90" t="s">
        <v>82</v>
      </c>
      <c r="F90" t="s">
        <v>15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>
      <c r="A91">
        <v>189</v>
      </c>
      <c r="B91" t="s">
        <v>274</v>
      </c>
      <c r="C91" t="s">
        <v>275</v>
      </c>
      <c r="D91" t="s">
        <v>266</v>
      </c>
      <c r="E91" t="s">
        <v>117</v>
      </c>
      <c r="F91" t="s">
        <v>15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>
      <c r="A92">
        <v>190</v>
      </c>
      <c r="B92" t="s">
        <v>276</v>
      </c>
      <c r="C92" t="s">
        <v>277</v>
      </c>
      <c r="D92" t="s">
        <v>175</v>
      </c>
      <c r="E92" t="s">
        <v>105</v>
      </c>
      <c r="F92" t="s">
        <v>15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>
      <c r="A93">
        <v>191</v>
      </c>
      <c r="B93" t="s">
        <v>278</v>
      </c>
      <c r="C93" t="s">
        <v>279</v>
      </c>
      <c r="D93" t="s">
        <v>280</v>
      </c>
      <c r="E93" t="s">
        <v>73</v>
      </c>
      <c r="F93" t="s">
        <v>35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>
      <c r="A94">
        <v>192</v>
      </c>
      <c r="B94" t="s">
        <v>281</v>
      </c>
      <c r="C94" t="s">
        <v>282</v>
      </c>
      <c r="D94" t="s">
        <v>283</v>
      </c>
      <c r="E94" t="s">
        <v>169</v>
      </c>
      <c r="F94" t="s">
        <v>69</v>
      </c>
      <c r="G94" t="s">
        <v>284</v>
      </c>
      <c r="H94">
        <v>203.63</v>
      </c>
      <c r="I94" t="s">
        <v>55</v>
      </c>
      <c r="J94" t="s">
        <v>49</v>
      </c>
    </row>
    <row r="95" spans="1:11">
      <c r="A95">
        <v>193</v>
      </c>
      <c r="B95" t="s">
        <v>285</v>
      </c>
      <c r="C95" t="s">
        <v>286</v>
      </c>
      <c r="D95" s="10">
        <v>45814</v>
      </c>
      <c r="E95" t="s">
        <v>59</v>
      </c>
      <c r="H95">
        <v>522.02</v>
      </c>
      <c r="I95" t="s">
        <v>23</v>
      </c>
      <c r="J95" t="s">
        <v>17</v>
      </c>
    </row>
    <row r="96" spans="1:11">
      <c r="A96">
        <v>194</v>
      </c>
      <c r="B96" t="s">
        <v>287</v>
      </c>
      <c r="C96" t="s">
        <v>288</v>
      </c>
      <c r="D96" s="10">
        <v>45932</v>
      </c>
      <c r="E96" t="s">
        <v>117</v>
      </c>
      <c r="F96" t="s">
        <v>15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>
      <c r="A97">
        <v>195</v>
      </c>
      <c r="B97" t="s">
        <v>289</v>
      </c>
      <c r="C97" t="s">
        <v>290</v>
      </c>
      <c r="D97" t="s">
        <v>291</v>
      </c>
      <c r="E97" t="s">
        <v>39</v>
      </c>
      <c r="F97" t="s">
        <v>35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>
      <c r="A98">
        <v>196</v>
      </c>
      <c r="B98" t="s">
        <v>292</v>
      </c>
      <c r="C98" t="s">
        <v>293</v>
      </c>
      <c r="D98" t="s">
        <v>27</v>
      </c>
      <c r="E98" t="s">
        <v>105</v>
      </c>
      <c r="F98" t="s">
        <v>15</v>
      </c>
      <c r="H98" t="s">
        <v>22</v>
      </c>
      <c r="I98" t="s">
        <v>23</v>
      </c>
      <c r="J98" t="s">
        <v>30</v>
      </c>
    </row>
    <row r="99" spans="1:11">
      <c r="A99">
        <v>197</v>
      </c>
      <c r="B99" t="s">
        <v>294</v>
      </c>
      <c r="C99" t="s">
        <v>295</v>
      </c>
      <c r="D99" t="s">
        <v>296</v>
      </c>
      <c r="E99" t="s">
        <v>14</v>
      </c>
      <c r="F99" t="s">
        <v>15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>
      <c r="A100">
        <v>198</v>
      </c>
      <c r="B100" t="s">
        <v>297</v>
      </c>
      <c r="C100" t="s">
        <v>298</v>
      </c>
      <c r="D100" t="s">
        <v>299</v>
      </c>
      <c r="E100" t="s">
        <v>105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>
      <c r="A101">
        <v>199</v>
      </c>
      <c r="B101" t="s">
        <v>300</v>
      </c>
      <c r="C101" t="s">
        <v>301</v>
      </c>
      <c r="D101" t="s">
        <v>302</v>
      </c>
      <c r="E101" t="s">
        <v>14</v>
      </c>
      <c r="F101" t="s">
        <v>15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  <row r="102" spans="1:11">
      <c r="A102">
        <v>175</v>
      </c>
      <c r="B102" t="s">
        <v>238</v>
      </c>
      <c r="C102" t="s">
        <v>239</v>
      </c>
      <c r="D102" t="s">
        <v>240</v>
      </c>
      <c r="E102" t="s">
        <v>140</v>
      </c>
      <c r="F102" t="s">
        <v>21</v>
      </c>
      <c r="G102">
        <v>1</v>
      </c>
      <c r="H102">
        <v>111.36</v>
      </c>
      <c r="I102" t="s">
        <v>55</v>
      </c>
      <c r="J102" t="s">
        <v>24</v>
      </c>
      <c r="K102">
        <v>77.952</v>
      </c>
    </row>
    <row r="103" spans="1:11">
      <c r="A103">
        <v>142</v>
      </c>
      <c r="B103" t="s">
        <v>154</v>
      </c>
      <c r="C103" t="s">
        <v>155</v>
      </c>
      <c r="D103" t="s">
        <v>81</v>
      </c>
      <c r="E103" t="s">
        <v>68</v>
      </c>
      <c r="F103" t="s">
        <v>69</v>
      </c>
      <c r="G103">
        <v>5</v>
      </c>
      <c r="H103">
        <v>645.26</v>
      </c>
      <c r="I103" t="s">
        <v>55</v>
      </c>
      <c r="J103" t="s">
        <v>17</v>
      </c>
      <c r="K103">
        <v>3226.3</v>
      </c>
    </row>
    <row r="104" spans="1:11">
      <c r="A104">
        <v>146</v>
      </c>
      <c r="B104" t="s">
        <v>165</v>
      </c>
      <c r="C104" t="s">
        <v>166</v>
      </c>
      <c r="D104" s="10">
        <v>45907</v>
      </c>
      <c r="E104" t="s">
        <v>59</v>
      </c>
      <c r="F104" t="s">
        <v>85</v>
      </c>
      <c r="G104">
        <v>2</v>
      </c>
      <c r="H104">
        <v>705.42</v>
      </c>
      <c r="I104" t="s">
        <v>46</v>
      </c>
      <c r="J104" t="s">
        <v>24</v>
      </c>
      <c r="K104">
        <v>1410.84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K101"/>
  <sheetViews>
    <sheetView tabSelected="1" zoomScaleSheetLayoutView="60" workbookViewId="0">
      <selection activeCell="G2" sqref="G2:G101"/>
    </sheetView>
  </sheetViews>
  <sheetFormatPr defaultColWidth="10.2857142857143" defaultRowHeight="15"/>
  <cols>
    <col min="2" max="2" width="17.7142857142857" customWidth="1"/>
    <col min="3" max="3" width="11.2857142857143" customWidth="1"/>
    <col min="4" max="4" width="12.1428571428571" style="1" customWidth="1"/>
    <col min="5" max="5" width="12.1428571428571" customWidth="1"/>
    <col min="6" max="6" width="14.1428571428571" customWidth="1"/>
    <col min="7" max="7" width="13.7142857142857" customWidth="1"/>
    <col min="8" max="8" width="9.28571428571429" customWidth="1"/>
    <col min="9" max="10" width="18.5714285714286" customWidth="1"/>
    <col min="11" max="11" width="11.7142857142857" customWidth="1"/>
    <col min="12" max="12" width="13.1428571428571" customWidth="1"/>
    <col min="13" max="13" width="12.2857142857143" customWidth="1"/>
    <col min="14" max="14" width="11.8571428571429" customWidth="1"/>
    <col min="15" max="15" width="11.5714285714286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s="10">
        <v>45618</v>
      </c>
      <c r="E2" t="s">
        <v>14</v>
      </c>
      <c r="F2" s="2" t="str">
        <f t="shared" ref="F2:F65" si="0"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f>
        <v>Home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>
      <c r="A3">
        <v>101</v>
      </c>
      <c r="B3" t="s">
        <v>18</v>
      </c>
      <c r="C3" t="s">
        <v>19</v>
      </c>
      <c r="D3" s="10">
        <v>45843</v>
      </c>
      <c r="E3" t="s">
        <v>20</v>
      </c>
      <c r="F3" s="2" t="str">
        <f t="shared" si="0"/>
        <v>Electronics</v>
      </c>
      <c r="G3">
        <v>2</v>
      </c>
      <c r="I3" t="s">
        <v>23</v>
      </c>
      <c r="J3" t="s">
        <v>24</v>
      </c>
    </row>
    <row r="4" spans="1:11">
      <c r="A4">
        <v>102</v>
      </c>
      <c r="B4" t="s">
        <v>25</v>
      </c>
      <c r="C4" t="s">
        <v>26</v>
      </c>
      <c r="D4" s="10">
        <v>45649</v>
      </c>
      <c r="E4" t="s">
        <v>28</v>
      </c>
      <c r="F4" s="2" t="str">
        <f t="shared" si="0"/>
        <v>Sports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>
      <c r="A5">
        <v>103</v>
      </c>
      <c r="B5" t="s">
        <v>31</v>
      </c>
      <c r="C5" t="s">
        <v>32</v>
      </c>
      <c r="D5" s="10">
        <v>45735</v>
      </c>
      <c r="E5" t="s">
        <v>34</v>
      </c>
      <c r="F5" s="2" t="str">
        <f t="shared" si="0"/>
        <v>Books</v>
      </c>
      <c r="G5">
        <v>5</v>
      </c>
      <c r="H5">
        <v>233.92</v>
      </c>
      <c r="I5" t="s">
        <v>23</v>
      </c>
      <c r="J5" t="s">
        <v>24</v>
      </c>
      <c r="K5">
        <v>1169.6</v>
      </c>
    </row>
    <row r="6" spans="1:11">
      <c r="A6">
        <v>104</v>
      </c>
      <c r="B6" t="s">
        <v>36</v>
      </c>
      <c r="C6" t="s">
        <v>37</v>
      </c>
      <c r="D6" s="10">
        <v>45950</v>
      </c>
      <c r="E6" t="s">
        <v>39</v>
      </c>
      <c r="F6" s="2" t="str">
        <f t="shared" si="0"/>
        <v>Books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>
      <c r="A7">
        <v>105</v>
      </c>
      <c r="B7" t="s">
        <v>40</v>
      </c>
      <c r="C7" t="s">
        <v>41</v>
      </c>
      <c r="D7" s="10">
        <v>45616</v>
      </c>
      <c r="E7" t="s">
        <v>28</v>
      </c>
      <c r="F7" s="2" t="str">
        <f t="shared" si="0"/>
        <v>Sports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>
      <c r="A8">
        <v>106</v>
      </c>
      <c r="B8" t="s">
        <v>44</v>
      </c>
      <c r="C8" t="s">
        <v>45</v>
      </c>
      <c r="D8" s="10">
        <v>45690</v>
      </c>
      <c r="E8" t="s">
        <v>14</v>
      </c>
      <c r="F8" s="2" t="str">
        <f t="shared" si="0"/>
        <v>Home</v>
      </c>
      <c r="G8" t="str">
        <f>IF(AND(K8&lt;&gt;"",H8&lt;&gt;""),ROUND(K8/H8,0),"")</f>
        <v/>
      </c>
      <c r="H8">
        <v>978.63</v>
      </c>
      <c r="I8" t="s">
        <v>46</v>
      </c>
      <c r="J8" t="s">
        <v>24</v>
      </c>
    </row>
    <row r="9" spans="1:11">
      <c r="A9">
        <v>107</v>
      </c>
      <c r="B9" t="s">
        <v>47</v>
      </c>
      <c r="C9" t="s">
        <v>48</v>
      </c>
      <c r="D9" s="10">
        <v>45660</v>
      </c>
      <c r="E9" t="s">
        <v>39</v>
      </c>
      <c r="F9" s="2" t="str">
        <f t="shared" si="0"/>
        <v>Books</v>
      </c>
      <c r="G9">
        <v>5</v>
      </c>
      <c r="H9">
        <v>587.68</v>
      </c>
      <c r="I9" t="s">
        <v>23</v>
      </c>
      <c r="J9" t="s">
        <v>49</v>
      </c>
      <c r="K9">
        <v>2938.4</v>
      </c>
    </row>
    <row r="10" spans="1:11">
      <c r="A10">
        <v>108</v>
      </c>
      <c r="B10" t="s">
        <v>50</v>
      </c>
      <c r="C10" t="s">
        <v>51</v>
      </c>
      <c r="D10" s="10">
        <v>45953</v>
      </c>
      <c r="E10" t="s">
        <v>34</v>
      </c>
      <c r="F10" s="2" t="str">
        <f t="shared" si="0"/>
        <v>Books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>
      <c r="A11">
        <v>109</v>
      </c>
      <c r="B11" t="s">
        <v>53</v>
      </c>
      <c r="C11" t="s">
        <v>54</v>
      </c>
      <c r="D11" s="10">
        <v>45780</v>
      </c>
      <c r="E11" t="s">
        <v>28</v>
      </c>
      <c r="F11" s="2" t="str">
        <f t="shared" si="0"/>
        <v>Sports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>
      <c r="A12">
        <v>110</v>
      </c>
      <c r="B12" t="s">
        <v>56</v>
      </c>
      <c r="C12" t="s">
        <v>57</v>
      </c>
      <c r="D12" s="10">
        <v>45926</v>
      </c>
      <c r="E12" t="s">
        <v>59</v>
      </c>
      <c r="F12" s="2" t="str">
        <f t="shared" si="0"/>
        <v>Sports</v>
      </c>
      <c r="G12">
        <v>5</v>
      </c>
      <c r="H12">
        <v>400</v>
      </c>
      <c r="I12" t="s">
        <v>16</v>
      </c>
      <c r="J12" t="s">
        <v>43</v>
      </c>
      <c r="K12">
        <f>H12*G12</f>
        <v>2000</v>
      </c>
    </row>
    <row r="13" spans="1:11">
      <c r="A13">
        <v>111</v>
      </c>
      <c r="B13" t="s">
        <v>62</v>
      </c>
      <c r="C13" t="s">
        <v>63</v>
      </c>
      <c r="D13" s="10">
        <v>45952</v>
      </c>
      <c r="E13" t="s">
        <v>65</v>
      </c>
      <c r="F13" s="2" t="str">
        <f t="shared" si="0"/>
        <v>Books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>
      <c r="A14">
        <v>112</v>
      </c>
      <c r="B14" t="s">
        <v>66</v>
      </c>
      <c r="C14" t="s">
        <v>67</v>
      </c>
      <c r="D14" s="10">
        <v>45718</v>
      </c>
      <c r="E14" t="s">
        <v>68</v>
      </c>
      <c r="F14" s="2" t="str">
        <f t="shared" si="0"/>
        <v>Clothing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>
      <c r="A15">
        <v>113</v>
      </c>
      <c r="B15" t="s">
        <v>70</v>
      </c>
      <c r="C15" t="s">
        <v>71</v>
      </c>
      <c r="D15" s="10">
        <v>45862</v>
      </c>
      <c r="E15" t="s">
        <v>73</v>
      </c>
      <c r="F15" s="2" t="str">
        <f t="shared" si="0"/>
        <v>Books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>
      <c r="A16">
        <v>114</v>
      </c>
      <c r="B16" t="s">
        <v>74</v>
      </c>
      <c r="C16" t="s">
        <v>75</v>
      </c>
      <c r="D16" s="10">
        <v>44931</v>
      </c>
      <c r="E16" t="s">
        <v>20</v>
      </c>
      <c r="F16" s="2" t="str">
        <f t="shared" si="0"/>
        <v>Electronics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>
      <c r="A17">
        <v>115</v>
      </c>
      <c r="B17" t="s">
        <v>77</v>
      </c>
      <c r="C17" t="s">
        <v>78</v>
      </c>
      <c r="D17" s="10">
        <v>45667</v>
      </c>
      <c r="E17" t="s">
        <v>73</v>
      </c>
      <c r="F17" s="2" t="str">
        <f t="shared" si="0"/>
        <v>Books</v>
      </c>
      <c r="G17">
        <v>2</v>
      </c>
      <c r="H17">
        <v>796.84</v>
      </c>
      <c r="I17" t="s">
        <v>16</v>
      </c>
      <c r="J17" t="s">
        <v>49</v>
      </c>
      <c r="K17">
        <f>G17*H17</f>
        <v>1593.68</v>
      </c>
    </row>
    <row r="18" spans="1:11">
      <c r="A18">
        <v>116</v>
      </c>
      <c r="B18" t="s">
        <v>79</v>
      </c>
      <c r="C18" t="s">
        <v>80</v>
      </c>
      <c r="D18" s="10">
        <v>45960</v>
      </c>
      <c r="E18" t="s">
        <v>82</v>
      </c>
      <c r="F18" s="2" t="str">
        <f t="shared" si="0"/>
        <v>Home</v>
      </c>
      <c r="G18">
        <v>4</v>
      </c>
      <c r="I18" t="s">
        <v>16</v>
      </c>
      <c r="J18" t="s">
        <v>24</v>
      </c>
    </row>
    <row r="19" spans="1:11">
      <c r="A19">
        <v>117</v>
      </c>
      <c r="B19" t="s">
        <v>83</v>
      </c>
      <c r="C19" t="s">
        <v>84</v>
      </c>
      <c r="D19" s="10">
        <v>45700</v>
      </c>
      <c r="E19" t="s">
        <v>14</v>
      </c>
      <c r="F19" s="2" t="str">
        <f t="shared" si="0"/>
        <v>Home</v>
      </c>
      <c r="G19">
        <v>2</v>
      </c>
      <c r="H19">
        <v>10000</v>
      </c>
      <c r="I19" t="s">
        <v>16</v>
      </c>
      <c r="J19" t="s">
        <v>24</v>
      </c>
      <c r="K19">
        <v>20000</v>
      </c>
    </row>
    <row r="20" spans="1:11">
      <c r="A20">
        <v>118</v>
      </c>
      <c r="B20" t="s">
        <v>86</v>
      </c>
      <c r="C20" t="s">
        <v>87</v>
      </c>
      <c r="D20" s="10">
        <v>45808</v>
      </c>
      <c r="E20" t="s">
        <v>34</v>
      </c>
      <c r="F20" s="2" t="str">
        <f t="shared" si="0"/>
        <v>Books</v>
      </c>
      <c r="G20">
        <v>5</v>
      </c>
      <c r="H20">
        <v>247.82</v>
      </c>
      <c r="I20" t="s">
        <v>23</v>
      </c>
      <c r="J20" t="s">
        <v>24</v>
      </c>
      <c r="K20">
        <v>1239.1</v>
      </c>
    </row>
    <row r="21" spans="1:11">
      <c r="A21">
        <v>119</v>
      </c>
      <c r="B21" t="s">
        <v>89</v>
      </c>
      <c r="C21" t="s">
        <v>90</v>
      </c>
      <c r="D21" s="10">
        <v>45645</v>
      </c>
      <c r="E21" t="s">
        <v>59</v>
      </c>
      <c r="F21" s="2" t="str">
        <f t="shared" si="0"/>
        <v>Sports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>
      <c r="A22">
        <v>120</v>
      </c>
      <c r="B22" t="s">
        <v>92</v>
      </c>
      <c r="C22" t="s">
        <v>93</v>
      </c>
      <c r="D22" s="10">
        <v>45821</v>
      </c>
      <c r="E22" t="s">
        <v>95</v>
      </c>
      <c r="F22" s="2" t="str">
        <f t="shared" si="0"/>
        <v>Sports</v>
      </c>
      <c r="G22">
        <v>5</v>
      </c>
      <c r="H22">
        <v>300</v>
      </c>
      <c r="I22" t="s">
        <v>55</v>
      </c>
      <c r="J22" t="s">
        <v>43</v>
      </c>
      <c r="K22">
        <f>G22*H22</f>
        <v>1500</v>
      </c>
    </row>
    <row r="23" spans="1:11">
      <c r="A23">
        <v>121</v>
      </c>
      <c r="B23" t="s">
        <v>98</v>
      </c>
      <c r="C23" t="s">
        <v>99</v>
      </c>
      <c r="D23" s="10">
        <v>45941</v>
      </c>
      <c r="E23" t="s">
        <v>59</v>
      </c>
      <c r="F23" s="2" t="str">
        <f t="shared" si="0"/>
        <v>Sports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>
      <c r="A24">
        <v>122</v>
      </c>
      <c r="B24" t="s">
        <v>100</v>
      </c>
      <c r="C24" t="s">
        <v>101</v>
      </c>
      <c r="D24" s="10">
        <v>45793</v>
      </c>
      <c r="E24" t="s">
        <v>82</v>
      </c>
      <c r="F24" s="2" t="str">
        <f t="shared" si="0"/>
        <v>Home</v>
      </c>
      <c r="G24">
        <v>2</v>
      </c>
      <c r="H24">
        <v>556.93</v>
      </c>
      <c r="I24" t="s">
        <v>23</v>
      </c>
      <c r="J24" t="s">
        <v>17</v>
      </c>
      <c r="K24">
        <v>1113.86</v>
      </c>
    </row>
    <row r="25" spans="1:11">
      <c r="A25">
        <v>123</v>
      </c>
      <c r="B25" t="s">
        <v>103</v>
      </c>
      <c r="C25" t="s">
        <v>104</v>
      </c>
      <c r="D25" s="10">
        <v>45936</v>
      </c>
      <c r="E25" t="s">
        <v>105</v>
      </c>
      <c r="F25" s="2" t="str">
        <f t="shared" si="0"/>
        <v>Home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>
      <c r="A26">
        <v>124</v>
      </c>
      <c r="B26" t="s">
        <v>106</v>
      </c>
      <c r="C26" t="s">
        <v>107</v>
      </c>
      <c r="D26" s="10">
        <v>45808</v>
      </c>
      <c r="E26" t="s">
        <v>65</v>
      </c>
      <c r="F26" s="2" t="str">
        <f t="shared" si="0"/>
        <v>Books</v>
      </c>
      <c r="G26">
        <v>5</v>
      </c>
      <c r="I26" t="s">
        <v>23</v>
      </c>
      <c r="J26" t="s">
        <v>43</v>
      </c>
    </row>
    <row r="27" spans="1:11">
      <c r="A27">
        <v>125</v>
      </c>
      <c r="B27" t="s">
        <v>108</v>
      </c>
      <c r="C27" t="s">
        <v>109</v>
      </c>
      <c r="D27" s="10">
        <v>45697</v>
      </c>
      <c r="E27" t="s">
        <v>65</v>
      </c>
      <c r="F27" s="2" t="str">
        <f t="shared" si="0"/>
        <v>Books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>
      <c r="A28">
        <v>126</v>
      </c>
      <c r="B28" t="s">
        <v>110</v>
      </c>
      <c r="C28" t="s">
        <v>111</v>
      </c>
      <c r="D28" s="10">
        <v>45795</v>
      </c>
      <c r="E28" t="s">
        <v>68</v>
      </c>
      <c r="F28" s="2" t="str">
        <f t="shared" si="0"/>
        <v>Clothing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>
      <c r="A29">
        <v>127</v>
      </c>
      <c r="B29" t="s">
        <v>113</v>
      </c>
      <c r="C29" t="s">
        <v>114</v>
      </c>
      <c r="D29" s="10">
        <v>45789</v>
      </c>
      <c r="E29" t="s">
        <v>14</v>
      </c>
      <c r="F29" s="2" t="str">
        <f t="shared" si="0"/>
        <v>Home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>
      <c r="A30">
        <v>128</v>
      </c>
      <c r="B30" t="s">
        <v>115</v>
      </c>
      <c r="C30" t="s">
        <v>116</v>
      </c>
      <c r="D30" s="10">
        <v>45606</v>
      </c>
      <c r="E30" t="s">
        <v>117</v>
      </c>
      <c r="F30" s="2" t="str">
        <f t="shared" si="0"/>
        <v>Home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>
      <c r="A31">
        <v>129</v>
      </c>
      <c r="B31" t="s">
        <v>119</v>
      </c>
      <c r="C31" t="s">
        <v>120</v>
      </c>
      <c r="D31" s="10">
        <v>45830</v>
      </c>
      <c r="E31" t="s">
        <v>34</v>
      </c>
      <c r="F31" s="2" t="str">
        <f t="shared" si="0"/>
        <v>Books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>
      <c r="A32">
        <v>130</v>
      </c>
      <c r="B32" t="s">
        <v>122</v>
      </c>
      <c r="C32" t="s">
        <v>123</v>
      </c>
      <c r="D32" s="10">
        <v>45884</v>
      </c>
      <c r="E32" t="s">
        <v>28</v>
      </c>
      <c r="F32" s="2" t="str">
        <f t="shared" si="0"/>
        <v>Sports</v>
      </c>
      <c r="G32">
        <v>2</v>
      </c>
      <c r="I32" t="s">
        <v>46</v>
      </c>
      <c r="J32" t="s">
        <v>24</v>
      </c>
    </row>
    <row r="33" spans="1:11">
      <c r="A33">
        <v>131</v>
      </c>
      <c r="B33" t="s">
        <v>125</v>
      </c>
      <c r="C33" t="s">
        <v>126</v>
      </c>
      <c r="D33" s="10">
        <v>45819</v>
      </c>
      <c r="E33" t="s">
        <v>117</v>
      </c>
      <c r="F33" s="2" t="str">
        <f t="shared" si="0"/>
        <v>Home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>
      <c r="A34">
        <v>132</v>
      </c>
      <c r="B34" t="s">
        <v>127</v>
      </c>
      <c r="C34" t="s">
        <v>128</v>
      </c>
      <c r="D34" s="10">
        <v>45749</v>
      </c>
      <c r="E34" t="s">
        <v>95</v>
      </c>
      <c r="F34" s="2" t="str">
        <f t="shared" si="0"/>
        <v>Sports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>
      <c r="A35">
        <v>133</v>
      </c>
      <c r="B35" t="s">
        <v>129</v>
      </c>
      <c r="C35" t="s">
        <v>130</v>
      </c>
      <c r="D35" s="10">
        <v>45631</v>
      </c>
      <c r="E35" t="s">
        <v>39</v>
      </c>
      <c r="F35" s="2" t="str">
        <f t="shared" si="0"/>
        <v>Books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>
      <c r="A36">
        <v>134</v>
      </c>
      <c r="B36" t="s">
        <v>132</v>
      </c>
      <c r="C36" t="s">
        <v>133</v>
      </c>
      <c r="D36" s="10">
        <v>45934</v>
      </c>
      <c r="E36" t="s">
        <v>134</v>
      </c>
      <c r="F36" s="2" t="str">
        <f t="shared" si="0"/>
        <v>Clothing</v>
      </c>
      <c r="G36">
        <v>5</v>
      </c>
      <c r="H36">
        <v>591.53</v>
      </c>
      <c r="I36" t="s">
        <v>23</v>
      </c>
      <c r="J36" t="s">
        <v>17</v>
      </c>
      <c r="K36" s="3">
        <v>2957.65</v>
      </c>
    </row>
    <row r="37" spans="1:11">
      <c r="A37">
        <v>135</v>
      </c>
      <c r="B37" t="s">
        <v>135</v>
      </c>
      <c r="C37" t="s">
        <v>136</v>
      </c>
      <c r="D37" s="10">
        <v>45697</v>
      </c>
      <c r="E37" t="s">
        <v>137</v>
      </c>
      <c r="F37" s="2" t="str">
        <f t="shared" si="0"/>
        <v>Electronics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>
      <c r="A38">
        <v>136</v>
      </c>
      <c r="B38" t="s">
        <v>138</v>
      </c>
      <c r="C38" t="s">
        <v>139</v>
      </c>
      <c r="D38" s="10">
        <v>45820</v>
      </c>
      <c r="E38" t="s">
        <v>140</v>
      </c>
      <c r="F38" s="2" t="str">
        <f t="shared" si="0"/>
        <v>Electronics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>
      <c r="A39">
        <v>137</v>
      </c>
      <c r="B39" t="s">
        <v>141</v>
      </c>
      <c r="C39" t="s">
        <v>142</v>
      </c>
      <c r="D39" s="10">
        <v>45711</v>
      </c>
      <c r="E39" t="s">
        <v>105</v>
      </c>
      <c r="F39" s="2" t="str">
        <f t="shared" si="0"/>
        <v>Home</v>
      </c>
      <c r="G39">
        <v>3</v>
      </c>
      <c r="H39">
        <v>100</v>
      </c>
      <c r="I39" t="s">
        <v>16</v>
      </c>
      <c r="J39" t="s">
        <v>30</v>
      </c>
      <c r="K39">
        <v>300</v>
      </c>
    </row>
    <row r="40" spans="1:11">
      <c r="A40">
        <v>138</v>
      </c>
      <c r="B40" t="s">
        <v>144</v>
      </c>
      <c r="C40" t="s">
        <v>145</v>
      </c>
      <c r="D40" s="10">
        <v>45878</v>
      </c>
      <c r="E40" t="s">
        <v>117</v>
      </c>
      <c r="F40" s="2" t="str">
        <f t="shared" si="0"/>
        <v>Home</v>
      </c>
      <c r="G40">
        <v>1</v>
      </c>
      <c r="H40">
        <v>531.06</v>
      </c>
      <c r="I40" t="s">
        <v>23</v>
      </c>
      <c r="J40" t="s">
        <v>24</v>
      </c>
      <c r="K40">
        <v>531.06</v>
      </c>
    </row>
    <row r="41" spans="1:11">
      <c r="A41">
        <v>139</v>
      </c>
      <c r="B41" t="s">
        <v>146</v>
      </c>
      <c r="C41" t="s">
        <v>147</v>
      </c>
      <c r="D41" s="10">
        <v>45697</v>
      </c>
      <c r="E41" t="s">
        <v>20</v>
      </c>
      <c r="F41" s="2" t="str">
        <f t="shared" si="0"/>
        <v>Electronics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>
      <c r="A42">
        <v>140</v>
      </c>
      <c r="B42" t="s">
        <v>148</v>
      </c>
      <c r="C42" t="s">
        <v>149</v>
      </c>
      <c r="D42" s="10">
        <v>45714</v>
      </c>
      <c r="E42" t="s">
        <v>73</v>
      </c>
      <c r="F42" s="2" t="str">
        <f t="shared" si="0"/>
        <v>Books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>
      <c r="A43">
        <v>141</v>
      </c>
      <c r="B43" t="s">
        <v>151</v>
      </c>
      <c r="C43" t="s">
        <v>152</v>
      </c>
      <c r="D43" s="10">
        <v>45701</v>
      </c>
      <c r="E43" t="s">
        <v>73</v>
      </c>
      <c r="F43" s="2" t="str">
        <f t="shared" si="0"/>
        <v>Books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>
      <c r="A44">
        <v>142</v>
      </c>
      <c r="B44" t="s">
        <v>154</v>
      </c>
      <c r="C44" t="s">
        <v>155</v>
      </c>
      <c r="D44" s="10">
        <v>45960</v>
      </c>
      <c r="E44" t="s">
        <v>68</v>
      </c>
      <c r="F44" s="2" t="str">
        <f t="shared" si="0"/>
        <v>Clothing</v>
      </c>
      <c r="G44">
        <v>5</v>
      </c>
      <c r="H44">
        <v>645.26</v>
      </c>
      <c r="I44" t="s">
        <v>55</v>
      </c>
      <c r="J44" t="s">
        <v>17</v>
      </c>
      <c r="K44">
        <v>3226.3</v>
      </c>
    </row>
    <row r="45" spans="1:11">
      <c r="A45">
        <v>143</v>
      </c>
      <c r="B45" t="s">
        <v>156</v>
      </c>
      <c r="C45" t="s">
        <v>157</v>
      </c>
      <c r="D45" s="10">
        <v>45849</v>
      </c>
      <c r="E45" t="s">
        <v>134</v>
      </c>
      <c r="F45" s="2" t="str">
        <f t="shared" si="0"/>
        <v>Clothing</v>
      </c>
      <c r="G45">
        <v>5</v>
      </c>
      <c r="H45">
        <v>826.77</v>
      </c>
      <c r="I45" t="s">
        <v>46</v>
      </c>
      <c r="J45" t="s">
        <v>43</v>
      </c>
      <c r="K45">
        <v>4133.85</v>
      </c>
    </row>
    <row r="46" spans="1:11">
      <c r="A46">
        <v>144</v>
      </c>
      <c r="B46" t="s">
        <v>158</v>
      </c>
      <c r="C46" t="s">
        <v>159</v>
      </c>
      <c r="D46" s="10">
        <v>45684</v>
      </c>
      <c r="E46" t="s">
        <v>161</v>
      </c>
      <c r="F46" s="2" t="str">
        <f t="shared" si="0"/>
        <v>Sports</v>
      </c>
      <c r="G46">
        <v>5</v>
      </c>
      <c r="H46">
        <v>849.07</v>
      </c>
      <c r="I46" t="s">
        <v>46</v>
      </c>
      <c r="J46" t="s">
        <v>24</v>
      </c>
      <c r="K46">
        <v>4245.35</v>
      </c>
    </row>
    <row r="47" spans="1:11">
      <c r="A47">
        <v>145</v>
      </c>
      <c r="B47" t="s">
        <v>162</v>
      </c>
      <c r="C47" t="s">
        <v>163</v>
      </c>
      <c r="D47" s="10">
        <v>45047</v>
      </c>
      <c r="E47" t="s">
        <v>164</v>
      </c>
      <c r="F47" s="2" t="str">
        <f t="shared" si="0"/>
        <v>Electronics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>
      <c r="A48">
        <v>146</v>
      </c>
      <c r="B48" t="s">
        <v>165</v>
      </c>
      <c r="C48" t="s">
        <v>166</v>
      </c>
      <c r="D48" s="10">
        <v>45847</v>
      </c>
      <c r="E48" t="s">
        <v>59</v>
      </c>
      <c r="F48" s="2" t="str">
        <f t="shared" si="0"/>
        <v>Sports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>
      <c r="A49">
        <v>147</v>
      </c>
      <c r="B49" t="s">
        <v>167</v>
      </c>
      <c r="C49" t="s">
        <v>168</v>
      </c>
      <c r="D49" s="10">
        <v>45778</v>
      </c>
      <c r="E49" t="s">
        <v>169</v>
      </c>
      <c r="F49" s="2" t="str">
        <f t="shared" si="0"/>
        <v>Clothing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>
      <c r="A50">
        <v>148</v>
      </c>
      <c r="B50" t="s">
        <v>170</v>
      </c>
      <c r="C50" t="s">
        <v>171</v>
      </c>
      <c r="D50" s="10">
        <v>45729</v>
      </c>
      <c r="E50" t="s">
        <v>28</v>
      </c>
      <c r="F50" s="2" t="str">
        <f t="shared" si="0"/>
        <v>Sports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>
      <c r="A51">
        <v>149</v>
      </c>
      <c r="B51" t="s">
        <v>173</v>
      </c>
      <c r="C51" t="s">
        <v>174</v>
      </c>
      <c r="D51" s="10">
        <v>45837</v>
      </c>
      <c r="E51" t="s">
        <v>65</v>
      </c>
      <c r="F51" s="2" t="str">
        <f t="shared" si="0"/>
        <v>Books</v>
      </c>
      <c r="G51">
        <v>5</v>
      </c>
      <c r="H51">
        <v>896.38</v>
      </c>
      <c r="I51" t="s">
        <v>46</v>
      </c>
      <c r="J51" t="s">
        <v>43</v>
      </c>
      <c r="K51">
        <v>4481.9</v>
      </c>
    </row>
    <row r="52" spans="1:11">
      <c r="A52">
        <v>150</v>
      </c>
      <c r="B52" t="s">
        <v>176</v>
      </c>
      <c r="C52" t="s">
        <v>177</v>
      </c>
      <c r="D52" s="10">
        <v>45623</v>
      </c>
      <c r="E52" t="s">
        <v>95</v>
      </c>
      <c r="F52" s="2" t="str">
        <f t="shared" si="0"/>
        <v>Sports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>
      <c r="A53">
        <v>151</v>
      </c>
      <c r="B53" t="s">
        <v>179</v>
      </c>
      <c r="C53" t="s">
        <v>180</v>
      </c>
      <c r="D53" s="10">
        <v>45839</v>
      </c>
      <c r="E53" t="s">
        <v>65</v>
      </c>
      <c r="F53" s="2" t="str">
        <f t="shared" si="0"/>
        <v>Books</v>
      </c>
      <c r="G53">
        <v>2</v>
      </c>
      <c r="H53">
        <v>457.16</v>
      </c>
      <c r="I53" t="s">
        <v>23</v>
      </c>
      <c r="J53" t="s">
        <v>24</v>
      </c>
      <c r="K53">
        <f>G53*H53</f>
        <v>914.32</v>
      </c>
    </row>
    <row r="54" spans="1:11">
      <c r="A54">
        <v>152</v>
      </c>
      <c r="B54" t="s">
        <v>181</v>
      </c>
      <c r="C54" t="s">
        <v>182</v>
      </c>
      <c r="D54" s="10">
        <v>45922</v>
      </c>
      <c r="E54" t="s">
        <v>117</v>
      </c>
      <c r="F54" s="2" t="str">
        <f t="shared" si="0"/>
        <v>Home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>
      <c r="A55">
        <v>153</v>
      </c>
      <c r="B55" t="s">
        <v>184</v>
      </c>
      <c r="C55" t="s">
        <v>185</v>
      </c>
      <c r="D55" s="10">
        <v>45854</v>
      </c>
      <c r="E55" t="s">
        <v>95</v>
      </c>
      <c r="F55" s="2" t="str">
        <f t="shared" si="0"/>
        <v>Sports</v>
      </c>
      <c r="G55">
        <v>4</v>
      </c>
      <c r="H55">
        <v>278.9</v>
      </c>
      <c r="I55" t="s">
        <v>16</v>
      </c>
      <c r="J55" t="s">
        <v>24</v>
      </c>
      <c r="K55">
        <v>1115.6</v>
      </c>
    </row>
    <row r="56" spans="1:11">
      <c r="A56">
        <v>154</v>
      </c>
      <c r="B56" t="s">
        <v>187</v>
      </c>
      <c r="C56" t="s">
        <v>188</v>
      </c>
      <c r="D56" s="10">
        <v>45709</v>
      </c>
      <c r="E56" t="s">
        <v>14</v>
      </c>
      <c r="F56" s="2" t="str">
        <f t="shared" si="0"/>
        <v>Home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>
      <c r="A57">
        <v>155</v>
      </c>
      <c r="B57" t="s">
        <v>190</v>
      </c>
      <c r="C57" t="s">
        <v>191</v>
      </c>
      <c r="D57" s="10">
        <v>45778</v>
      </c>
      <c r="E57" t="s">
        <v>68</v>
      </c>
      <c r="F57" s="2" t="str">
        <f t="shared" si="0"/>
        <v>Clothing</v>
      </c>
      <c r="G57">
        <v>1</v>
      </c>
      <c r="H57">
        <v>40.95</v>
      </c>
      <c r="I57" t="s">
        <v>23</v>
      </c>
      <c r="J57" t="s">
        <v>49</v>
      </c>
      <c r="K57">
        <v>40.95</v>
      </c>
    </row>
    <row r="58" spans="1:11">
      <c r="A58">
        <v>156</v>
      </c>
      <c r="B58" t="s">
        <v>193</v>
      </c>
      <c r="C58" t="s">
        <v>194</v>
      </c>
      <c r="D58" s="10">
        <v>45624</v>
      </c>
      <c r="E58" t="s">
        <v>196</v>
      </c>
      <c r="F58" s="2" t="str">
        <f t="shared" si="0"/>
        <v>Clothing</v>
      </c>
      <c r="G58">
        <v>2</v>
      </c>
      <c r="I58" t="s">
        <v>46</v>
      </c>
      <c r="J58" t="s">
        <v>17</v>
      </c>
    </row>
    <row r="59" spans="1:11">
      <c r="A59">
        <v>157</v>
      </c>
      <c r="B59" t="s">
        <v>197</v>
      </c>
      <c r="C59" t="s">
        <v>198</v>
      </c>
      <c r="D59" s="10">
        <v>45967</v>
      </c>
      <c r="E59" t="s">
        <v>169</v>
      </c>
      <c r="F59" s="2" t="str">
        <f t="shared" si="0"/>
        <v>Clothing</v>
      </c>
      <c r="G59">
        <v>4</v>
      </c>
      <c r="H59">
        <v>275.1</v>
      </c>
      <c r="I59" t="s">
        <v>46</v>
      </c>
      <c r="J59" t="s">
        <v>24</v>
      </c>
      <c r="K59">
        <v>1100.4</v>
      </c>
    </row>
    <row r="60" spans="1:11">
      <c r="A60">
        <v>158</v>
      </c>
      <c r="B60" t="s">
        <v>199</v>
      </c>
      <c r="C60" t="s">
        <v>200</v>
      </c>
      <c r="D60" s="10">
        <v>45752</v>
      </c>
      <c r="E60" t="s">
        <v>137</v>
      </c>
      <c r="F60" s="2" t="str">
        <f t="shared" si="0"/>
        <v>Electronics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>
      <c r="A61">
        <v>159</v>
      </c>
      <c r="B61" t="s">
        <v>201</v>
      </c>
      <c r="C61" t="s">
        <v>202</v>
      </c>
      <c r="D61" s="10">
        <v>45866</v>
      </c>
      <c r="E61" t="s">
        <v>82</v>
      </c>
      <c r="F61" s="2" t="str">
        <f t="shared" si="0"/>
        <v>Home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>
      <c r="A62">
        <v>160</v>
      </c>
      <c r="B62" t="s">
        <v>204</v>
      </c>
      <c r="C62" t="s">
        <v>205</v>
      </c>
      <c r="D62" s="10">
        <v>45660</v>
      </c>
      <c r="E62" t="s">
        <v>34</v>
      </c>
      <c r="F62" s="2" t="str">
        <f t="shared" si="0"/>
        <v>Books</v>
      </c>
      <c r="G62">
        <v>5</v>
      </c>
      <c r="H62">
        <v>242.52</v>
      </c>
      <c r="I62" t="s">
        <v>16</v>
      </c>
      <c r="J62" t="s">
        <v>49</v>
      </c>
      <c r="K62">
        <v>1212.6</v>
      </c>
    </row>
    <row r="63" spans="1:11">
      <c r="A63">
        <v>161</v>
      </c>
      <c r="B63" t="s">
        <v>206</v>
      </c>
      <c r="C63" t="s">
        <v>207</v>
      </c>
      <c r="D63" s="10">
        <v>45641</v>
      </c>
      <c r="E63" t="s">
        <v>34</v>
      </c>
      <c r="F63" s="2" t="str">
        <f t="shared" si="0"/>
        <v>Books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>
      <c r="A64">
        <v>162</v>
      </c>
      <c r="B64" t="s">
        <v>209</v>
      </c>
      <c r="C64" t="s">
        <v>210</v>
      </c>
      <c r="D64" s="10">
        <v>45796</v>
      </c>
      <c r="E64" t="s">
        <v>14</v>
      </c>
      <c r="F64" s="2" t="str">
        <f t="shared" si="0"/>
        <v>Home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>
      <c r="A65">
        <v>163</v>
      </c>
      <c r="B65" t="s">
        <v>212</v>
      </c>
      <c r="C65" t="s">
        <v>213</v>
      </c>
      <c r="D65" s="10">
        <v>44931</v>
      </c>
      <c r="E65" t="s">
        <v>137</v>
      </c>
      <c r="F65" s="2" t="str">
        <f t="shared" si="0"/>
        <v>Electronics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>
      <c r="A66">
        <v>164</v>
      </c>
      <c r="B66" t="s">
        <v>214</v>
      </c>
      <c r="C66" t="s">
        <v>215</v>
      </c>
      <c r="D66" s="10">
        <v>45697</v>
      </c>
      <c r="E66" t="s">
        <v>28</v>
      </c>
      <c r="F66" s="2" t="str">
        <f t="shared" ref="F66:F101" si="1">IF(OR(E66="Smartphone",E66="Laptop",E66="Smartwatch",E66="Headphones"),"Electronics",IF(OR(E66="Blender",E66="Microwave",E66="Vacuum",E66="Lamp"),"Home",IF(OR(E66="Shoes",E66="Jacket",E66="Jeans",E66="T-shirt"),"Clothing",IF(OR(E66="Tennis Racket",E66="Basketball",E66="Football",E66="Yoga Mat"),"Sports",IF(OR(E66="Science",E66="Fiction",E66="Biography",E66="Comics"),"Books","Unknown")))))</f>
        <v>Sports</v>
      </c>
      <c r="H66">
        <v>587.64</v>
      </c>
      <c r="I66" t="s">
        <v>55</v>
      </c>
      <c r="J66" t="s">
        <v>49</v>
      </c>
    </row>
    <row r="67" spans="1:11">
      <c r="A67">
        <v>165</v>
      </c>
      <c r="B67" t="s">
        <v>216</v>
      </c>
      <c r="C67" t="s">
        <v>217</v>
      </c>
      <c r="D67" s="10">
        <v>45604</v>
      </c>
      <c r="E67" t="s">
        <v>68</v>
      </c>
      <c r="F67" s="2" t="str">
        <f t="shared" si="1"/>
        <v>Clothing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>
      <c r="A68">
        <v>166</v>
      </c>
      <c r="B68" t="s">
        <v>218</v>
      </c>
      <c r="C68" t="s">
        <v>219</v>
      </c>
      <c r="D68" s="10">
        <v>45841</v>
      </c>
      <c r="E68" t="s">
        <v>134</v>
      </c>
      <c r="F68" s="2" t="str">
        <f t="shared" si="1"/>
        <v>Clothing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>
      <c r="A69">
        <v>167</v>
      </c>
      <c r="B69" t="s">
        <v>220</v>
      </c>
      <c r="C69" t="s">
        <v>221</v>
      </c>
      <c r="D69" s="10">
        <v>45876</v>
      </c>
      <c r="E69" t="s">
        <v>59</v>
      </c>
      <c r="F69" s="2" t="str">
        <f t="shared" si="1"/>
        <v>Sports</v>
      </c>
      <c r="H69">
        <v>593.93</v>
      </c>
      <c r="I69" t="s">
        <v>16</v>
      </c>
      <c r="J69" t="s">
        <v>24</v>
      </c>
    </row>
    <row r="70" spans="1:11">
      <c r="A70">
        <v>168</v>
      </c>
      <c r="B70" t="s">
        <v>222</v>
      </c>
      <c r="C70" t="s">
        <v>223</v>
      </c>
      <c r="D70" s="10">
        <v>45965</v>
      </c>
      <c r="E70" t="s">
        <v>39</v>
      </c>
      <c r="F70" s="2" t="str">
        <f t="shared" si="1"/>
        <v>Books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>
      <c r="A71">
        <v>169</v>
      </c>
      <c r="B71" t="s">
        <v>224</v>
      </c>
      <c r="C71" t="s">
        <v>225</v>
      </c>
      <c r="D71" s="10">
        <v>45881</v>
      </c>
      <c r="E71" t="s">
        <v>59</v>
      </c>
      <c r="F71" s="2" t="str">
        <f t="shared" si="1"/>
        <v>Sports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>
      <c r="A72">
        <v>170</v>
      </c>
      <c r="B72" t="s">
        <v>226</v>
      </c>
      <c r="C72" t="s">
        <v>227</v>
      </c>
      <c r="D72" s="10">
        <v>45933</v>
      </c>
      <c r="E72" t="s">
        <v>196</v>
      </c>
      <c r="F72" s="2" t="str">
        <f t="shared" si="1"/>
        <v>Clothing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>
      <c r="A73">
        <v>171</v>
      </c>
      <c r="B73" t="s">
        <v>228</v>
      </c>
      <c r="C73" t="s">
        <v>229</v>
      </c>
      <c r="D73" s="10">
        <v>45632</v>
      </c>
      <c r="E73" t="s">
        <v>68</v>
      </c>
      <c r="F73" s="2" t="str">
        <f t="shared" si="1"/>
        <v>Clothing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>
      <c r="A74">
        <v>172</v>
      </c>
      <c r="B74" t="s">
        <v>230</v>
      </c>
      <c r="C74" t="s">
        <v>231</v>
      </c>
      <c r="D74" s="10">
        <v>45614</v>
      </c>
      <c r="E74" t="s">
        <v>65</v>
      </c>
      <c r="F74" s="2" t="str">
        <f t="shared" si="1"/>
        <v>Books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>
      <c r="A75">
        <v>173</v>
      </c>
      <c r="B75" t="s">
        <v>233</v>
      </c>
      <c r="C75" t="s">
        <v>234</v>
      </c>
      <c r="D75" s="10">
        <v>45941</v>
      </c>
      <c r="E75" t="s">
        <v>117</v>
      </c>
      <c r="F75" s="2" t="str">
        <f t="shared" si="1"/>
        <v>Home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>
      <c r="A76">
        <v>174</v>
      </c>
      <c r="B76" t="s">
        <v>235</v>
      </c>
      <c r="C76" t="s">
        <v>236</v>
      </c>
      <c r="D76" s="10">
        <v>45920</v>
      </c>
      <c r="E76" t="s">
        <v>82</v>
      </c>
      <c r="F76" s="2" t="str">
        <f t="shared" si="1"/>
        <v>Home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>
      <c r="A77">
        <v>175</v>
      </c>
      <c r="B77" t="s">
        <v>238</v>
      </c>
      <c r="C77" t="s">
        <v>239</v>
      </c>
      <c r="D77" s="10">
        <v>45712</v>
      </c>
      <c r="E77" t="s">
        <v>140</v>
      </c>
      <c r="F77" s="2" t="str">
        <f t="shared" si="1"/>
        <v>Electronics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>
      <c r="A78">
        <v>176</v>
      </c>
      <c r="B78" t="s">
        <v>241</v>
      </c>
      <c r="C78" t="s">
        <v>242</v>
      </c>
      <c r="D78" s="10">
        <v>45860</v>
      </c>
      <c r="E78" t="s">
        <v>65</v>
      </c>
      <c r="F78" s="2" t="str">
        <f t="shared" si="1"/>
        <v>Books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>
      <c r="A79">
        <v>177</v>
      </c>
      <c r="B79" t="s">
        <v>244</v>
      </c>
      <c r="C79" t="s">
        <v>245</v>
      </c>
      <c r="D79" s="10">
        <v>45866</v>
      </c>
      <c r="E79" t="s">
        <v>164</v>
      </c>
      <c r="F79" s="2" t="str">
        <f t="shared" si="1"/>
        <v>Electronics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>
      <c r="A80">
        <v>178</v>
      </c>
      <c r="B80" t="s">
        <v>246</v>
      </c>
      <c r="C80" t="s">
        <v>247</v>
      </c>
      <c r="D80" s="10">
        <v>45918</v>
      </c>
      <c r="E80" t="s">
        <v>28</v>
      </c>
      <c r="F80" s="2" t="str">
        <f t="shared" si="1"/>
        <v>Sports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>
      <c r="A81">
        <v>179</v>
      </c>
      <c r="B81" t="s">
        <v>249</v>
      </c>
      <c r="C81" t="s">
        <v>250</v>
      </c>
      <c r="D81" s="10">
        <v>45903</v>
      </c>
      <c r="E81" t="s">
        <v>95</v>
      </c>
      <c r="F81" s="2" t="str">
        <f t="shared" si="1"/>
        <v>Sports</v>
      </c>
      <c r="G81">
        <v>3</v>
      </c>
      <c r="H81">
        <v>868.67</v>
      </c>
      <c r="I81" t="s">
        <v>23</v>
      </c>
      <c r="J81" t="s">
        <v>30</v>
      </c>
      <c r="K81">
        <v>2606.01</v>
      </c>
    </row>
    <row r="82" spans="1:11">
      <c r="A82">
        <v>180</v>
      </c>
      <c r="B82" t="s">
        <v>251</v>
      </c>
      <c r="C82" t="s">
        <v>252</v>
      </c>
      <c r="D82" s="10">
        <v>45742</v>
      </c>
      <c r="E82" t="s">
        <v>164</v>
      </c>
      <c r="F82" s="2" t="str">
        <f t="shared" si="1"/>
        <v>Electronics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>
      <c r="A83">
        <v>181</v>
      </c>
      <c r="B83" t="s">
        <v>254</v>
      </c>
      <c r="C83" t="s">
        <v>255</v>
      </c>
      <c r="D83" s="10">
        <v>45655</v>
      </c>
      <c r="E83" t="s">
        <v>20</v>
      </c>
      <c r="F83" s="2" t="str">
        <f t="shared" si="1"/>
        <v>Electronics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>
      <c r="A84">
        <v>182</v>
      </c>
      <c r="B84" t="s">
        <v>257</v>
      </c>
      <c r="C84" t="s">
        <v>258</v>
      </c>
      <c r="D84" s="10">
        <v>45872</v>
      </c>
      <c r="E84" t="s">
        <v>68</v>
      </c>
      <c r="F84" s="2" t="str">
        <f t="shared" si="1"/>
        <v>Clothing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>
      <c r="A85">
        <v>183</v>
      </c>
      <c r="B85" t="s">
        <v>259</v>
      </c>
      <c r="C85" t="s">
        <v>260</v>
      </c>
      <c r="D85" s="10">
        <v>45726</v>
      </c>
      <c r="E85" t="s">
        <v>68</v>
      </c>
      <c r="F85" s="2" t="str">
        <f t="shared" si="1"/>
        <v>Clothing</v>
      </c>
      <c r="G85">
        <v>5</v>
      </c>
      <c r="I85" t="s">
        <v>16</v>
      </c>
      <c r="J85" t="s">
        <v>49</v>
      </c>
    </row>
    <row r="86" spans="1:11">
      <c r="A86">
        <v>184</v>
      </c>
      <c r="B86" t="s">
        <v>261</v>
      </c>
      <c r="C86" t="s">
        <v>262</v>
      </c>
      <c r="D86" s="10">
        <v>45703</v>
      </c>
      <c r="E86" t="s">
        <v>196</v>
      </c>
      <c r="F86" s="2" t="str">
        <f t="shared" si="1"/>
        <v>Clothing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>
      <c r="A87">
        <v>185</v>
      </c>
      <c r="B87" t="s">
        <v>264</v>
      </c>
      <c r="C87" t="s">
        <v>265</v>
      </c>
      <c r="D87" s="10">
        <v>45883</v>
      </c>
      <c r="E87" t="s">
        <v>161</v>
      </c>
      <c r="F87" s="2" t="str">
        <f t="shared" si="1"/>
        <v>Sports</v>
      </c>
      <c r="G87">
        <v>2</v>
      </c>
      <c r="H87">
        <v>730.92</v>
      </c>
      <c r="I87" t="s">
        <v>16</v>
      </c>
      <c r="J87" t="s">
        <v>43</v>
      </c>
      <c r="K87">
        <f>G87*H87</f>
        <v>1461.84</v>
      </c>
    </row>
    <row r="88" spans="1:11">
      <c r="A88">
        <v>186</v>
      </c>
      <c r="B88" t="s">
        <v>267</v>
      </c>
      <c r="C88" t="s">
        <v>268</v>
      </c>
      <c r="D88" s="10">
        <v>45936</v>
      </c>
      <c r="E88" t="s">
        <v>164</v>
      </c>
      <c r="F88" s="2" t="str">
        <f t="shared" si="1"/>
        <v>Electronics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>
      <c r="A89">
        <v>187</v>
      </c>
      <c r="B89" t="s">
        <v>269</v>
      </c>
      <c r="C89" t="s">
        <v>270</v>
      </c>
      <c r="D89" s="10">
        <v>45615</v>
      </c>
      <c r="E89" t="s">
        <v>20</v>
      </c>
      <c r="F89" s="2" t="str">
        <f t="shared" si="1"/>
        <v>Electronics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>
      <c r="A90">
        <v>188</v>
      </c>
      <c r="B90" t="s">
        <v>272</v>
      </c>
      <c r="C90" t="s">
        <v>273</v>
      </c>
      <c r="D90" s="10">
        <v>45615</v>
      </c>
      <c r="E90" t="s">
        <v>82</v>
      </c>
      <c r="F90" s="2" t="str">
        <f t="shared" si="1"/>
        <v>Home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>
      <c r="A91">
        <v>189</v>
      </c>
      <c r="B91" t="s">
        <v>274</v>
      </c>
      <c r="C91" t="s">
        <v>275</v>
      </c>
      <c r="D91" s="10">
        <v>45883</v>
      </c>
      <c r="E91" t="s">
        <v>117</v>
      </c>
      <c r="F91" s="2" t="str">
        <f t="shared" si="1"/>
        <v>Home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>
      <c r="A92">
        <v>190</v>
      </c>
      <c r="B92" t="s">
        <v>276</v>
      </c>
      <c r="C92" t="s">
        <v>277</v>
      </c>
      <c r="D92" s="10">
        <v>45837</v>
      </c>
      <c r="E92" t="s">
        <v>105</v>
      </c>
      <c r="F92" s="2" t="str">
        <f t="shared" si="1"/>
        <v>Home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>
      <c r="A93">
        <v>191</v>
      </c>
      <c r="B93" t="s">
        <v>278</v>
      </c>
      <c r="C93" t="s">
        <v>279</v>
      </c>
      <c r="D93" s="10">
        <v>45856</v>
      </c>
      <c r="E93" t="s">
        <v>73</v>
      </c>
      <c r="F93" s="2" t="str">
        <f t="shared" si="1"/>
        <v>Books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>
      <c r="A94">
        <v>192</v>
      </c>
      <c r="B94" t="s">
        <v>281</v>
      </c>
      <c r="C94" t="s">
        <v>282</v>
      </c>
      <c r="D94" s="10"/>
      <c r="E94" t="s">
        <v>169</v>
      </c>
      <c r="F94" s="2" t="str">
        <f t="shared" si="1"/>
        <v>Clothing</v>
      </c>
      <c r="G94">
        <v>4</v>
      </c>
      <c r="H94">
        <v>203.63</v>
      </c>
      <c r="I94" t="s">
        <v>55</v>
      </c>
      <c r="J94" t="s">
        <v>49</v>
      </c>
      <c r="K94">
        <f>G94*H94</f>
        <v>814.52</v>
      </c>
    </row>
    <row r="95" spans="1:11">
      <c r="A95">
        <v>193</v>
      </c>
      <c r="B95" t="s">
        <v>285</v>
      </c>
      <c r="C95" t="s">
        <v>286</v>
      </c>
      <c r="D95" s="10">
        <v>45814</v>
      </c>
      <c r="E95" t="s">
        <v>59</v>
      </c>
      <c r="F95" s="2" t="str">
        <f t="shared" si="1"/>
        <v>Sports</v>
      </c>
      <c r="H95">
        <v>522.02</v>
      </c>
      <c r="I95" t="s">
        <v>23</v>
      </c>
      <c r="J95" t="s">
        <v>17</v>
      </c>
    </row>
    <row r="96" spans="1:11">
      <c r="A96">
        <v>194</v>
      </c>
      <c r="B96" t="s">
        <v>287</v>
      </c>
      <c r="C96" t="s">
        <v>288</v>
      </c>
      <c r="D96" s="10">
        <v>45698</v>
      </c>
      <c r="E96" t="s">
        <v>117</v>
      </c>
      <c r="F96" s="2" t="str">
        <f t="shared" si="1"/>
        <v>Home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>
      <c r="A97">
        <v>195</v>
      </c>
      <c r="B97" t="s">
        <v>289</v>
      </c>
      <c r="C97" t="s">
        <v>290</v>
      </c>
      <c r="D97" s="10">
        <v>45827</v>
      </c>
      <c r="E97" t="s">
        <v>39</v>
      </c>
      <c r="F97" s="2" t="str">
        <f t="shared" si="1"/>
        <v>Books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>
      <c r="A98">
        <v>196</v>
      </c>
      <c r="B98" t="s">
        <v>292</v>
      </c>
      <c r="C98" t="s">
        <v>293</v>
      </c>
      <c r="D98" s="10">
        <v>45649</v>
      </c>
      <c r="E98" t="s">
        <v>105</v>
      </c>
      <c r="F98" s="2" t="str">
        <f t="shared" si="1"/>
        <v>Home</v>
      </c>
      <c r="I98" t="s">
        <v>23</v>
      </c>
      <c r="J98" t="s">
        <v>30</v>
      </c>
    </row>
    <row r="99" spans="1:11">
      <c r="A99">
        <v>197</v>
      </c>
      <c r="B99" t="s">
        <v>294</v>
      </c>
      <c r="C99" t="s">
        <v>295</v>
      </c>
      <c r="D99" s="10">
        <v>45831</v>
      </c>
      <c r="E99" t="s">
        <v>14</v>
      </c>
      <c r="F99" s="2" t="str">
        <f t="shared" si="1"/>
        <v>Home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>
      <c r="A100">
        <v>198</v>
      </c>
      <c r="B100" t="s">
        <v>297</v>
      </c>
      <c r="C100" t="s">
        <v>298</v>
      </c>
      <c r="D100" s="10">
        <v>45865</v>
      </c>
      <c r="E100" t="s">
        <v>105</v>
      </c>
      <c r="F100" s="2" t="str">
        <f t="shared" si="1"/>
        <v>Home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>
      <c r="A101">
        <v>199</v>
      </c>
      <c r="B101" t="s">
        <v>300</v>
      </c>
      <c r="C101" t="s">
        <v>301</v>
      </c>
      <c r="D101" s="10">
        <v>45679</v>
      </c>
      <c r="E101" t="s">
        <v>14</v>
      </c>
      <c r="F101" s="2" t="str">
        <f t="shared" si="1"/>
        <v>Home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</sheetData>
  <conditionalFormatting sqref="A$1:A$1048576">
    <cfRule type="duplicateValues" dxfId="1" priority="2"/>
  </conditionalFormatting>
  <conditionalFormatting sqref="A2:A101">
    <cfRule type="duplicateValues" dxfId="1" priority="1"/>
  </conditionalFormatting>
  <conditionalFormatting sqref="G2:G101">
    <cfRule type="cellIs" dxfId="2" priority="5" operator="lessThan">
      <formula>0</formula>
    </cfRule>
  </conditionalFormatting>
  <conditionalFormatting sqref="H2:H101">
    <cfRule type="cellIs" dxfId="2" priority="4" operator="lessThan">
      <formula>0</formula>
    </cfRule>
  </conditionalFormatting>
  <conditionalFormatting sqref="K2:K35 K37:K101">
    <cfRule type="cellIs" dxfId="2" priority="3" operator="lessThan">
      <formula>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5"/>
  <sheetViews>
    <sheetView topLeftCell="A2" workbookViewId="0">
      <selection activeCell="F17" sqref="F17"/>
    </sheetView>
  </sheetViews>
  <sheetFormatPr defaultColWidth="9.14285714285714" defaultRowHeight="15"/>
  <cols>
    <col min="1" max="1" width="12.1428571428571"/>
    <col min="2" max="3" width="12.8571428571429"/>
    <col min="4" max="4" width="14.1428571428571"/>
    <col min="5" max="6" width="12.8571428571429"/>
    <col min="7" max="8" width="12.1428571428571"/>
    <col min="9" max="9" width="16.5714285714286"/>
    <col min="10" max="10" width="18.1428571428571"/>
  </cols>
  <sheetData>
    <row r="3" spans="1:9">
      <c r="A3" t="s">
        <v>5</v>
      </c>
      <c r="B3" t="s">
        <v>303</v>
      </c>
      <c r="D3" t="s">
        <v>8</v>
      </c>
      <c r="E3" t="s">
        <v>303</v>
      </c>
      <c r="G3" t="s">
        <v>9</v>
      </c>
      <c r="H3" t="s">
        <v>304</v>
      </c>
    </row>
    <row r="4" spans="1:9">
      <c r="A4" t="s">
        <v>21</v>
      </c>
      <c r="B4">
        <v>12330.13</v>
      </c>
      <c r="D4" t="s">
        <v>55</v>
      </c>
      <c r="E4">
        <v>24054.49</v>
      </c>
      <c r="G4" t="s">
        <v>30</v>
      </c>
      <c r="H4">
        <v>11</v>
      </c>
    </row>
    <row r="5" spans="1:9">
      <c r="A5" t="s">
        <v>29</v>
      </c>
      <c r="B5">
        <v>22913.79</v>
      </c>
      <c r="D5" t="s">
        <v>23</v>
      </c>
      <c r="E5">
        <v>27580.42</v>
      </c>
      <c r="G5" t="s">
        <v>43</v>
      </c>
      <c r="H5">
        <v>15</v>
      </c>
    </row>
    <row r="6" spans="1:9">
      <c r="A6" t="s">
        <v>69</v>
      </c>
      <c r="B6">
        <v>31371.36</v>
      </c>
      <c r="D6" t="s">
        <v>46</v>
      </c>
      <c r="E6">
        <v>41612.83</v>
      </c>
      <c r="G6" t="s">
        <v>17</v>
      </c>
      <c r="H6">
        <v>22</v>
      </c>
    </row>
    <row r="7" spans="1:9">
      <c r="A7" t="s">
        <v>35</v>
      </c>
      <c r="B7">
        <v>40073.31</v>
      </c>
      <c r="D7" t="s">
        <v>16</v>
      </c>
      <c r="E7">
        <v>64758.3</v>
      </c>
      <c r="G7" t="s">
        <v>24</v>
      </c>
      <c r="H7">
        <v>25</v>
      </c>
    </row>
    <row r="8" spans="1:9">
      <c r="A8" t="s">
        <v>15</v>
      </c>
      <c r="B8">
        <v>51317.45</v>
      </c>
      <c r="D8" t="s">
        <v>305</v>
      </c>
      <c r="E8">
        <v>158006.04</v>
      </c>
      <c r="G8" t="s">
        <v>49</v>
      </c>
      <c r="H8">
        <v>27</v>
      </c>
    </row>
    <row r="9" spans="1:9">
      <c r="A9" t="s">
        <v>305</v>
      </c>
      <c r="B9">
        <v>158006.04</v>
      </c>
      <c r="G9" t="s">
        <v>305</v>
      </c>
      <c r="H9">
        <v>100</v>
      </c>
    </row>
    <row r="11" spans="1:9">
      <c r="H11" t="s">
        <v>5</v>
      </c>
      <c r="I11" t="s">
        <v>306</v>
      </c>
    </row>
    <row r="12" spans="1:9">
      <c r="A12" t="s">
        <v>4</v>
      </c>
      <c r="B12" t="s">
        <v>303</v>
      </c>
      <c r="D12" t="s">
        <v>3</v>
      </c>
      <c r="E12" t="s">
        <v>303</v>
      </c>
      <c r="H12" t="s">
        <v>21</v>
      </c>
      <c r="I12">
        <v>26</v>
      </c>
    </row>
    <row r="13" spans="1:9">
      <c r="A13" t="s">
        <v>39</v>
      </c>
      <c r="B13">
        <v>9577.39</v>
      </c>
      <c r="D13" t="s">
        <v>307</v>
      </c>
      <c r="E13">
        <v>13383.47</v>
      </c>
      <c r="H13" t="s">
        <v>29</v>
      </c>
      <c r="I13">
        <v>52</v>
      </c>
    </row>
    <row r="14" spans="1:9">
      <c r="A14" t="s">
        <v>117</v>
      </c>
      <c r="B14">
        <v>14306.44</v>
      </c>
      <c r="D14" t="s">
        <v>308</v>
      </c>
      <c r="E14">
        <v>39691.34</v>
      </c>
      <c r="H14" t="s">
        <v>69</v>
      </c>
      <c r="I14">
        <v>63</v>
      </c>
    </row>
    <row r="15" spans="1:9">
      <c r="A15" t="s">
        <v>65</v>
      </c>
      <c r="B15">
        <v>14728.64</v>
      </c>
      <c r="D15" t="s">
        <v>309</v>
      </c>
      <c r="E15">
        <v>5675.86</v>
      </c>
      <c r="H15" t="s">
        <v>15</v>
      </c>
      <c r="I15">
        <v>73</v>
      </c>
    </row>
    <row r="16" spans="1:9">
      <c r="A16" t="s">
        <v>68</v>
      </c>
      <c r="B16">
        <v>14728.67</v>
      </c>
      <c r="D16" t="s">
        <v>310</v>
      </c>
      <c r="E16">
        <v>1200.28</v>
      </c>
      <c r="H16" t="s">
        <v>35</v>
      </c>
      <c r="I16">
        <v>79</v>
      </c>
    </row>
    <row r="17" spans="1:9">
      <c r="A17" t="s">
        <v>14</v>
      </c>
      <c r="B17">
        <v>28075.38</v>
      </c>
      <c r="D17" t="s">
        <v>311</v>
      </c>
      <c r="E17">
        <v>12681.01</v>
      </c>
      <c r="H17" t="s">
        <v>305</v>
      </c>
      <c r="I17">
        <v>293</v>
      </c>
    </row>
    <row r="18" spans="1:9">
      <c r="A18" t="s">
        <v>305</v>
      </c>
      <c r="B18">
        <v>81416.52</v>
      </c>
      <c r="D18" t="s">
        <v>312</v>
      </c>
      <c r="E18">
        <v>17876.43</v>
      </c>
    </row>
    <row r="19" spans="1:9">
      <c r="D19" t="s">
        <v>313</v>
      </c>
      <c r="E19">
        <v>15092.8</v>
      </c>
    </row>
    <row r="20" spans="1:9">
      <c r="D20" t="s">
        <v>314</v>
      </c>
      <c r="E20">
        <v>5543.11</v>
      </c>
    </row>
    <row r="21" spans="1:9">
      <c r="D21" t="s">
        <v>315</v>
      </c>
      <c r="E21">
        <v>7471.68</v>
      </c>
    </row>
    <row r="22" spans="1:9">
      <c r="D22" t="s">
        <v>316</v>
      </c>
      <c r="E22">
        <v>18841</v>
      </c>
    </row>
    <row r="23" spans="1:9">
      <c r="D23" t="s">
        <v>317</v>
      </c>
      <c r="E23">
        <v>12706.73</v>
      </c>
    </row>
    <row r="24" spans="1:9">
      <c r="D24" t="s">
        <v>318</v>
      </c>
      <c r="E24">
        <v>7027.81</v>
      </c>
    </row>
    <row r="25" spans="1:9">
      <c r="D25" t="s">
        <v>305</v>
      </c>
      <c r="E25">
        <v>157191.52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showGridLines="0" zoomScale="50" zoomScaleNormal="50" workbookViewId="0">
      <selection activeCell="A4" sqref="A4:C5"/>
    </sheetView>
  </sheetViews>
  <sheetFormatPr defaultColWidth="9.14285714285714" defaultRowHeight="15"/>
  <cols>
    <col min="4" max="4" width="10.5714285714286"/>
  </cols>
  <sheetData>
    <row r="1" spans="1:13">
      <c r="A1" s="4" t="s">
        <v>319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>
      <c r="G3" s="6"/>
    </row>
    <row r="4" spans="1:13">
      <c r="A4" s="7" t="s">
        <v>320</v>
      </c>
      <c r="B4" s="7"/>
      <c r="C4" s="7"/>
      <c r="D4" s="7" t="s">
        <v>321</v>
      </c>
      <c r="E4" s="7"/>
      <c r="F4" s="7"/>
      <c r="G4" s="7" t="s">
        <v>322</v>
      </c>
      <c r="H4" s="7"/>
      <c r="I4" s="7"/>
      <c r="J4" s="7" t="s">
        <v>323</v>
      </c>
      <c r="K4" s="7"/>
      <c r="L4" s="7"/>
    </row>
    <row r="5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>
      <c r="A6" s="7">
        <v>158006.04</v>
      </c>
      <c r="B6" s="7"/>
      <c r="C6" s="7"/>
      <c r="D6" s="7">
        <v>100</v>
      </c>
      <c r="E6" s="7"/>
      <c r="F6" s="7"/>
      <c r="G6" s="7">
        <f>A6/D6</f>
        <v>1580.0604</v>
      </c>
      <c r="H6" s="7"/>
      <c r="I6" s="7"/>
      <c r="J6" s="7">
        <v>293</v>
      </c>
      <c r="K6" s="7"/>
      <c r="L6" s="7"/>
      <c r="M6" s="8"/>
    </row>
    <row r="7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11" spans="1:13">
      <c r="F11" s="9"/>
    </row>
  </sheetData>
  <mergeCells count="9">
    <mergeCell ref="A1:L2"/>
    <mergeCell ref="A4:C5"/>
    <mergeCell ref="D4:F5"/>
    <mergeCell ref="G4:I5"/>
    <mergeCell ref="J4:L5"/>
    <mergeCell ref="A6:C7"/>
    <mergeCell ref="D6:F7"/>
    <mergeCell ref="G6:I7"/>
    <mergeCell ref="J6:L7"/>
  </mergeCells>
  <pageMargins left="0.25" right="0.25" top="0.75" bottom="0.75" header="0.298611111111111" footer="0.298611111111111"/>
  <pageSetup paperSize="1" scale="87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101"/>
  <sheetViews>
    <sheetView zoomScaleSheetLayoutView="60" topLeftCell="F1" workbookViewId="0">
      <selection activeCell="T43" sqref="T43"/>
    </sheetView>
  </sheetViews>
  <sheetFormatPr defaultColWidth="10.2857142857143" defaultRowHeight="15"/>
  <cols>
    <col min="2" max="2" width="17.7142857142857" customWidth="1"/>
    <col min="3" max="3" width="11.2857142857143" customWidth="1"/>
    <col min="4" max="4" width="12.1428571428571" style="1" customWidth="1"/>
    <col min="5" max="5" width="12.1428571428571" customWidth="1"/>
    <col min="6" max="6" width="14.1428571428571" customWidth="1"/>
    <col min="7" max="7" width="13.7142857142857" customWidth="1"/>
    <col min="8" max="8" width="9.28571428571429" customWidth="1"/>
    <col min="9" max="10" width="18.5714285714286" customWidth="1"/>
    <col min="11" max="11" width="11.1428571428571" customWidth="1"/>
    <col min="12" max="12" width="13.1428571428571" customWidth="1"/>
    <col min="13" max="13" width="12.2857142857143" customWidth="1"/>
    <col min="14" max="14" width="11.8571428571429" customWidth="1"/>
    <col min="15" max="15" width="11.5714285714286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324</v>
      </c>
      <c r="M1" t="s">
        <v>325</v>
      </c>
      <c r="N1" t="s">
        <v>326</v>
      </c>
      <c r="O1" t="s">
        <v>327</v>
      </c>
    </row>
    <row r="2" spans="1:15">
      <c r="A2">
        <v>100</v>
      </c>
      <c r="B2" t="s">
        <v>11</v>
      </c>
      <c r="C2" t="s">
        <v>12</v>
      </c>
      <c r="D2" s="1">
        <v>45618</v>
      </c>
      <c r="E2" t="s">
        <v>14</v>
      </c>
      <c r="F2" s="2" t="str">
        <f t="shared" ref="F2:F65" si="0"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f>
        <v>Home</v>
      </c>
      <c r="G2">
        <v>3</v>
      </c>
      <c r="H2">
        <v>38</v>
      </c>
      <c r="I2" t="s">
        <v>16</v>
      </c>
      <c r="J2" t="s">
        <v>17</v>
      </c>
      <c r="K2">
        <v>114</v>
      </c>
      <c r="L2" s="3" t="str">
        <f t="shared" ref="L2:L7" si="1">IF(G2*H2=K2,"correct","incorrect")</f>
        <v>correct</v>
      </c>
      <c r="M2" s="3">
        <f t="shared" ref="M2:M7" si="2">ABS(G2)</f>
        <v>3</v>
      </c>
      <c r="N2" s="3">
        <f>ABS(H2)</f>
        <v>38</v>
      </c>
      <c r="O2" s="3">
        <f>M2*N2</f>
        <v>114</v>
      </c>
    </row>
    <row r="3" spans="1:15">
      <c r="A3">
        <v>101</v>
      </c>
      <c r="B3" t="s">
        <v>18</v>
      </c>
      <c r="C3" t="s">
        <v>19</v>
      </c>
      <c r="D3" s="1">
        <v>45843</v>
      </c>
      <c r="E3" t="s">
        <v>20</v>
      </c>
      <c r="F3" s="2" t="str">
        <f t="shared" si="0"/>
        <v>Electronics</v>
      </c>
      <c r="G3">
        <v>2</v>
      </c>
      <c r="I3" t="s">
        <v>23</v>
      </c>
      <c r="J3" t="s">
        <v>24</v>
      </c>
      <c r="L3" s="3" t="str">
        <f t="shared" si="1"/>
        <v>correct</v>
      </c>
      <c r="M3" s="3">
        <f t="shared" si="2"/>
        <v>2</v>
      </c>
      <c r="N3" s="3"/>
      <c r="O3" s="3"/>
    </row>
    <row r="4" spans="1:15">
      <c r="A4">
        <v>102</v>
      </c>
      <c r="B4" t="s">
        <v>25</v>
      </c>
      <c r="C4" t="s">
        <v>26</v>
      </c>
      <c r="D4" s="1">
        <v>45649</v>
      </c>
      <c r="E4" t="s">
        <v>28</v>
      </c>
      <c r="F4" s="2" t="str">
        <f t="shared" si="0"/>
        <v>Sports</v>
      </c>
      <c r="G4">
        <v>1</v>
      </c>
      <c r="H4">
        <v>389.05</v>
      </c>
      <c r="I4" t="s">
        <v>23</v>
      </c>
      <c r="J4" t="s">
        <v>30</v>
      </c>
      <c r="K4">
        <v>389.05</v>
      </c>
      <c r="L4" s="3" t="str">
        <f t="shared" si="1"/>
        <v>correct</v>
      </c>
      <c r="M4" s="3">
        <f t="shared" si="2"/>
        <v>1</v>
      </c>
      <c r="N4" s="3">
        <f t="shared" ref="N4:N17" si="3">ABS(H4)</f>
        <v>389.05</v>
      </c>
      <c r="O4" s="3">
        <f>M4*N4</f>
        <v>389.05</v>
      </c>
    </row>
    <row r="5" spans="1:15">
      <c r="A5">
        <v>103</v>
      </c>
      <c r="B5" t="s">
        <v>31</v>
      </c>
      <c r="C5" t="s">
        <v>32</v>
      </c>
      <c r="D5" s="1">
        <v>45735</v>
      </c>
      <c r="E5" t="s">
        <v>34</v>
      </c>
      <c r="F5" s="2" t="str">
        <f t="shared" si="0"/>
        <v>Books</v>
      </c>
      <c r="G5">
        <v>5</v>
      </c>
      <c r="H5">
        <v>233.92</v>
      </c>
      <c r="I5" t="s">
        <v>23</v>
      </c>
      <c r="J5" t="s">
        <v>24</v>
      </c>
      <c r="K5">
        <v>1169.6</v>
      </c>
      <c r="L5" s="3" t="str">
        <f t="shared" si="1"/>
        <v>correct</v>
      </c>
      <c r="M5" s="3">
        <f t="shared" si="2"/>
        <v>5</v>
      </c>
      <c r="N5" s="3">
        <f t="shared" si="3"/>
        <v>233.92</v>
      </c>
      <c r="O5" s="3">
        <f>M5*N5</f>
        <v>1169.6</v>
      </c>
    </row>
    <row r="6" spans="1:15">
      <c r="A6">
        <v>104</v>
      </c>
      <c r="B6" t="s">
        <v>36</v>
      </c>
      <c r="C6" t="s">
        <v>37</v>
      </c>
      <c r="D6" s="1">
        <v>45950</v>
      </c>
      <c r="E6" t="s">
        <v>39</v>
      </c>
      <c r="F6" s="2" t="str">
        <f t="shared" si="0"/>
        <v>Books</v>
      </c>
      <c r="G6">
        <v>1</v>
      </c>
      <c r="H6">
        <v>552.51</v>
      </c>
      <c r="I6" t="s">
        <v>16</v>
      </c>
      <c r="J6" t="s">
        <v>24</v>
      </c>
      <c r="K6">
        <v>552.51</v>
      </c>
      <c r="L6" s="3" t="str">
        <f t="shared" si="1"/>
        <v>correct</v>
      </c>
      <c r="M6" s="3">
        <f t="shared" si="2"/>
        <v>1</v>
      </c>
      <c r="N6" s="3">
        <f t="shared" si="3"/>
        <v>552.51</v>
      </c>
      <c r="O6" s="3">
        <f>M6*N6</f>
        <v>552.51</v>
      </c>
    </row>
    <row r="7" spans="1:15">
      <c r="A7">
        <v>105</v>
      </c>
      <c r="B7" t="s">
        <v>40</v>
      </c>
      <c r="C7" t="s">
        <v>41</v>
      </c>
      <c r="D7" s="1">
        <v>45616</v>
      </c>
      <c r="E7" t="s">
        <v>28</v>
      </c>
      <c r="F7" s="2" t="str">
        <f t="shared" si="0"/>
        <v>Sports</v>
      </c>
      <c r="G7">
        <v>3</v>
      </c>
      <c r="H7">
        <v>122.06</v>
      </c>
      <c r="I7" t="s">
        <v>16</v>
      </c>
      <c r="J7" t="s">
        <v>43</v>
      </c>
      <c r="K7">
        <v>366.18</v>
      </c>
      <c r="L7" s="3" t="str">
        <f t="shared" si="1"/>
        <v>correct</v>
      </c>
      <c r="M7" s="3">
        <f t="shared" si="2"/>
        <v>3</v>
      </c>
      <c r="N7" s="3">
        <f t="shared" si="3"/>
        <v>122.06</v>
      </c>
      <c r="O7" s="3">
        <f>M7*N7</f>
        <v>366.18</v>
      </c>
    </row>
    <row r="8" spans="1:15">
      <c r="A8">
        <v>106</v>
      </c>
      <c r="B8" t="s">
        <v>44</v>
      </c>
      <c r="C8" t="s">
        <v>45</v>
      </c>
      <c r="D8" s="1">
        <v>45690</v>
      </c>
      <c r="E8" t="s">
        <v>14</v>
      </c>
      <c r="F8" s="2" t="str">
        <f t="shared" si="0"/>
        <v>Home</v>
      </c>
      <c r="G8" t="str">
        <f>IF(AND(K8&lt;&gt;"",H8&lt;&gt;""),ROUND(K8/H8,0),"")</f>
        <v/>
      </c>
      <c r="H8">
        <v>978.63</v>
      </c>
      <c r="I8" t="s">
        <v>46</v>
      </c>
      <c r="J8" t="s">
        <v>24</v>
      </c>
      <c r="L8" s="3"/>
      <c r="M8" s="3"/>
      <c r="N8" s="3">
        <f t="shared" si="3"/>
        <v>978.63</v>
      </c>
      <c r="O8" s="3"/>
    </row>
    <row r="9" spans="1:15">
      <c r="A9">
        <v>107</v>
      </c>
      <c r="B9" t="s">
        <v>47</v>
      </c>
      <c r="C9" t="s">
        <v>48</v>
      </c>
      <c r="D9" s="1">
        <v>45660</v>
      </c>
      <c r="E9" t="s">
        <v>39</v>
      </c>
      <c r="F9" s="2" t="str">
        <f t="shared" si="0"/>
        <v>Books</v>
      </c>
      <c r="G9">
        <v>5</v>
      </c>
      <c r="H9">
        <v>587.68</v>
      </c>
      <c r="I9" t="s">
        <v>23</v>
      </c>
      <c r="J9" t="s">
        <v>49</v>
      </c>
      <c r="K9">
        <v>2938.4</v>
      </c>
      <c r="L9" s="3" t="str">
        <f t="shared" ref="L9:L72" si="4">IF(G9*H9=K9,"correct","incorrect")</f>
        <v>correct</v>
      </c>
      <c r="M9" s="3">
        <f t="shared" ref="M9:M65" si="5">ABS(G9)</f>
        <v>5</v>
      </c>
      <c r="N9" s="3">
        <f t="shared" si="3"/>
        <v>587.68</v>
      </c>
      <c r="O9" s="3">
        <f t="shared" ref="O9:O17" si="6">M9*N9</f>
        <v>2938.4</v>
      </c>
    </row>
    <row r="10" spans="1:15">
      <c r="A10">
        <v>108</v>
      </c>
      <c r="B10" t="s">
        <v>50</v>
      </c>
      <c r="C10" t="s">
        <v>51</v>
      </c>
      <c r="D10" s="1">
        <v>45953</v>
      </c>
      <c r="E10" t="s">
        <v>34</v>
      </c>
      <c r="F10" s="2" t="str">
        <f t="shared" si="0"/>
        <v>Books</v>
      </c>
      <c r="G10">
        <v>1</v>
      </c>
      <c r="H10">
        <v>600.29</v>
      </c>
      <c r="I10" t="s">
        <v>16</v>
      </c>
      <c r="J10" t="s">
        <v>24</v>
      </c>
      <c r="K10">
        <v>600.29</v>
      </c>
      <c r="L10" s="3" t="str">
        <f t="shared" si="4"/>
        <v>correct</v>
      </c>
      <c r="M10" s="3">
        <f t="shared" si="5"/>
        <v>1</v>
      </c>
      <c r="N10" s="3">
        <f t="shared" si="3"/>
        <v>600.29</v>
      </c>
      <c r="O10" s="3">
        <f t="shared" si="6"/>
        <v>600.29</v>
      </c>
    </row>
    <row r="11" spans="1:15">
      <c r="A11">
        <v>109</v>
      </c>
      <c r="B11" t="s">
        <v>53</v>
      </c>
      <c r="C11" t="s">
        <v>54</v>
      </c>
      <c r="D11" s="1">
        <v>45780</v>
      </c>
      <c r="E11" t="s">
        <v>28</v>
      </c>
      <c r="F11" s="2" t="str">
        <f t="shared" si="0"/>
        <v>Sports</v>
      </c>
      <c r="G11">
        <v>5</v>
      </c>
      <c r="H11">
        <v>168.34</v>
      </c>
      <c r="I11" t="s">
        <v>55</v>
      </c>
      <c r="J11" t="s">
        <v>17</v>
      </c>
      <c r="K11">
        <v>841.7</v>
      </c>
      <c r="L11" s="3" t="str">
        <f t="shared" si="4"/>
        <v>correct</v>
      </c>
      <c r="M11" s="3">
        <f t="shared" si="5"/>
        <v>5</v>
      </c>
      <c r="N11" s="3">
        <f t="shared" si="3"/>
        <v>168.34</v>
      </c>
      <c r="O11" s="3">
        <f t="shared" si="6"/>
        <v>841.7</v>
      </c>
    </row>
    <row r="12" spans="1:15">
      <c r="A12">
        <v>110</v>
      </c>
      <c r="B12" t="s">
        <v>56</v>
      </c>
      <c r="C12" t="s">
        <v>57</v>
      </c>
      <c r="D12" s="1">
        <v>45926</v>
      </c>
      <c r="E12" t="s">
        <v>59</v>
      </c>
      <c r="F12" s="2" t="str">
        <f t="shared" si="0"/>
        <v>Sports</v>
      </c>
      <c r="G12">
        <v>5</v>
      </c>
      <c r="H12">
        <v>400</v>
      </c>
      <c r="I12" t="s">
        <v>16</v>
      </c>
      <c r="J12" t="s">
        <v>43</v>
      </c>
      <c r="K12">
        <f>H12*G12</f>
        <v>2000</v>
      </c>
      <c r="L12" s="3" t="str">
        <f t="shared" si="4"/>
        <v>correct</v>
      </c>
      <c r="M12" s="3">
        <f t="shared" si="5"/>
        <v>5</v>
      </c>
      <c r="N12" s="3">
        <f t="shared" si="3"/>
        <v>400</v>
      </c>
      <c r="O12" s="3">
        <f t="shared" si="6"/>
        <v>2000</v>
      </c>
    </row>
    <row r="13" spans="1:15">
      <c r="A13">
        <v>111</v>
      </c>
      <c r="B13" t="s">
        <v>62</v>
      </c>
      <c r="C13" t="s">
        <v>63</v>
      </c>
      <c r="D13" s="1">
        <v>45952</v>
      </c>
      <c r="E13" t="s">
        <v>65</v>
      </c>
      <c r="F13" s="2" t="str">
        <f t="shared" si="0"/>
        <v>Books</v>
      </c>
      <c r="G13">
        <v>2</v>
      </c>
      <c r="H13">
        <v>865.77</v>
      </c>
      <c r="I13" t="s">
        <v>55</v>
      </c>
      <c r="J13" t="s">
        <v>49</v>
      </c>
      <c r="K13">
        <v>1731.54</v>
      </c>
      <c r="L13" s="3" t="str">
        <f t="shared" si="4"/>
        <v>correct</v>
      </c>
      <c r="M13" s="3">
        <f t="shared" si="5"/>
        <v>2</v>
      </c>
      <c r="N13" s="3">
        <f t="shared" si="3"/>
        <v>865.77</v>
      </c>
      <c r="O13" s="3">
        <f t="shared" si="6"/>
        <v>1731.54</v>
      </c>
    </row>
    <row r="14" spans="1:15">
      <c r="A14">
        <v>112</v>
      </c>
      <c r="B14" t="s">
        <v>66</v>
      </c>
      <c r="C14" t="s">
        <v>67</v>
      </c>
      <c r="D14" s="1">
        <v>45718</v>
      </c>
      <c r="E14" t="s">
        <v>68</v>
      </c>
      <c r="F14" s="2" t="str">
        <f t="shared" si="0"/>
        <v>Clothing</v>
      </c>
      <c r="G14">
        <v>4</v>
      </c>
      <c r="H14">
        <v>752.13</v>
      </c>
      <c r="I14" t="s">
        <v>46</v>
      </c>
      <c r="J14" t="s">
        <v>30</v>
      </c>
      <c r="K14">
        <v>3008.52</v>
      </c>
      <c r="L14" s="3" t="str">
        <f t="shared" si="4"/>
        <v>correct</v>
      </c>
      <c r="M14" s="3">
        <f t="shared" si="5"/>
        <v>4</v>
      </c>
      <c r="N14" s="3">
        <f t="shared" si="3"/>
        <v>752.13</v>
      </c>
      <c r="O14" s="3">
        <f t="shared" si="6"/>
        <v>3008.52</v>
      </c>
    </row>
    <row r="15" spans="1:15">
      <c r="A15">
        <v>113</v>
      </c>
      <c r="B15" t="s">
        <v>70</v>
      </c>
      <c r="C15" t="s">
        <v>71</v>
      </c>
      <c r="D15" s="1">
        <v>45862</v>
      </c>
      <c r="E15" t="s">
        <v>73</v>
      </c>
      <c r="F15" s="2" t="str">
        <f t="shared" si="0"/>
        <v>Books</v>
      </c>
      <c r="G15">
        <v>1</v>
      </c>
      <c r="H15">
        <v>411.81</v>
      </c>
      <c r="I15" t="s">
        <v>55</v>
      </c>
      <c r="J15" t="s">
        <v>24</v>
      </c>
      <c r="K15">
        <v>411.81</v>
      </c>
      <c r="L15" s="3" t="str">
        <f t="shared" si="4"/>
        <v>correct</v>
      </c>
      <c r="M15" s="3">
        <f t="shared" si="5"/>
        <v>1</v>
      </c>
      <c r="N15" s="3">
        <f t="shared" si="3"/>
        <v>411.81</v>
      </c>
      <c r="O15" s="3">
        <f t="shared" si="6"/>
        <v>411.81</v>
      </c>
    </row>
    <row r="16" spans="1:15">
      <c r="A16">
        <v>114</v>
      </c>
      <c r="B16" t="s">
        <v>74</v>
      </c>
      <c r="C16" t="s">
        <v>75</v>
      </c>
      <c r="D16" s="1">
        <v>44931</v>
      </c>
      <c r="E16" t="s">
        <v>20</v>
      </c>
      <c r="F16" s="2" t="str">
        <f t="shared" si="0"/>
        <v>Electronics</v>
      </c>
      <c r="G16">
        <v>2</v>
      </c>
      <c r="H16">
        <v>413.13</v>
      </c>
      <c r="I16" t="s">
        <v>16</v>
      </c>
      <c r="J16" t="s">
        <v>17</v>
      </c>
      <c r="K16">
        <v>826.26</v>
      </c>
      <c r="L16" s="3" t="str">
        <f t="shared" si="4"/>
        <v>correct</v>
      </c>
      <c r="M16" s="3">
        <f t="shared" si="5"/>
        <v>2</v>
      </c>
      <c r="N16" s="3">
        <f t="shared" si="3"/>
        <v>413.13</v>
      </c>
      <c r="O16" s="3">
        <f t="shared" si="6"/>
        <v>826.26</v>
      </c>
    </row>
    <row r="17" spans="1:15">
      <c r="A17">
        <v>115</v>
      </c>
      <c r="B17" t="s">
        <v>77</v>
      </c>
      <c r="C17" t="s">
        <v>78</v>
      </c>
      <c r="D17" s="1">
        <v>45667</v>
      </c>
      <c r="E17" t="s">
        <v>73</v>
      </c>
      <c r="F17" s="2" t="str">
        <f t="shared" si="0"/>
        <v>Books</v>
      </c>
      <c r="G17">
        <v>2</v>
      </c>
      <c r="H17">
        <v>796.84</v>
      </c>
      <c r="I17" t="s">
        <v>16</v>
      </c>
      <c r="J17" t="s">
        <v>49</v>
      </c>
      <c r="K17">
        <f>G17*H17</f>
        <v>1593.68</v>
      </c>
      <c r="L17" s="3" t="str">
        <f t="shared" si="4"/>
        <v>correct</v>
      </c>
      <c r="M17" s="3">
        <f t="shared" si="5"/>
        <v>2</v>
      </c>
      <c r="N17" s="3">
        <f t="shared" si="3"/>
        <v>796.84</v>
      </c>
      <c r="O17" s="3">
        <f t="shared" si="6"/>
        <v>1593.68</v>
      </c>
    </row>
    <row r="18" spans="1:15">
      <c r="A18">
        <v>116</v>
      </c>
      <c r="B18" t="s">
        <v>79</v>
      </c>
      <c r="C18" t="s">
        <v>80</v>
      </c>
      <c r="D18" s="1">
        <v>45960</v>
      </c>
      <c r="E18" t="s">
        <v>82</v>
      </c>
      <c r="F18" s="2" t="str">
        <f t="shared" si="0"/>
        <v>Home</v>
      </c>
      <c r="G18">
        <v>4</v>
      </c>
      <c r="I18" t="s">
        <v>16</v>
      </c>
      <c r="J18" t="s">
        <v>24</v>
      </c>
      <c r="L18" s="3" t="str">
        <f t="shared" si="4"/>
        <v>correct</v>
      </c>
      <c r="M18" s="3">
        <f t="shared" si="5"/>
        <v>4</v>
      </c>
      <c r="N18" s="3"/>
      <c r="O18" s="3"/>
    </row>
    <row r="19" spans="1:15">
      <c r="A19">
        <v>117</v>
      </c>
      <c r="B19" t="s">
        <v>83</v>
      </c>
      <c r="C19" t="s">
        <v>84</v>
      </c>
      <c r="D19" s="1">
        <v>45700</v>
      </c>
      <c r="E19" t="s">
        <v>14</v>
      </c>
      <c r="F19" s="2" t="str">
        <f t="shared" si="0"/>
        <v>Home</v>
      </c>
      <c r="G19">
        <v>2</v>
      </c>
      <c r="H19">
        <v>10000</v>
      </c>
      <c r="I19" t="s">
        <v>16</v>
      </c>
      <c r="J19" t="s">
        <v>24</v>
      </c>
      <c r="K19">
        <v>20000</v>
      </c>
      <c r="L19" s="3" t="str">
        <f t="shared" si="4"/>
        <v>correct</v>
      </c>
      <c r="M19" s="3">
        <f t="shared" si="5"/>
        <v>2</v>
      </c>
      <c r="N19" s="3">
        <f t="shared" ref="N19:N25" si="7">ABS(H19)</f>
        <v>10000</v>
      </c>
      <c r="O19" s="3">
        <f t="shared" ref="O19:O25" si="8">M19*N19</f>
        <v>20000</v>
      </c>
    </row>
    <row r="20" spans="1:15">
      <c r="A20">
        <v>118</v>
      </c>
      <c r="B20" t="s">
        <v>86</v>
      </c>
      <c r="C20" t="s">
        <v>87</v>
      </c>
      <c r="D20" s="1">
        <v>45808</v>
      </c>
      <c r="E20" t="s">
        <v>34</v>
      </c>
      <c r="F20" s="2" t="str">
        <f t="shared" si="0"/>
        <v>Books</v>
      </c>
      <c r="G20">
        <v>5</v>
      </c>
      <c r="H20">
        <v>247.82</v>
      </c>
      <c r="I20" t="s">
        <v>23</v>
      </c>
      <c r="J20" t="s">
        <v>24</v>
      </c>
      <c r="K20">
        <v>1239.1</v>
      </c>
      <c r="L20" s="3" t="str">
        <f t="shared" si="4"/>
        <v>correct</v>
      </c>
      <c r="M20" s="3">
        <f t="shared" si="5"/>
        <v>5</v>
      </c>
      <c r="N20" s="3">
        <f t="shared" si="7"/>
        <v>247.82</v>
      </c>
      <c r="O20" s="3">
        <f t="shared" si="8"/>
        <v>1239.1</v>
      </c>
    </row>
    <row r="21" spans="1:15">
      <c r="A21">
        <v>119</v>
      </c>
      <c r="B21" t="s">
        <v>89</v>
      </c>
      <c r="C21" t="s">
        <v>90</v>
      </c>
      <c r="D21" s="1">
        <v>45645</v>
      </c>
      <c r="E21" t="s">
        <v>59</v>
      </c>
      <c r="F21" s="2" t="str">
        <f t="shared" si="0"/>
        <v>Sports</v>
      </c>
      <c r="G21">
        <v>4</v>
      </c>
      <c r="H21">
        <v>438.19</v>
      </c>
      <c r="I21" t="s">
        <v>16</v>
      </c>
      <c r="J21" t="s">
        <v>24</v>
      </c>
      <c r="K21">
        <v>1752.76</v>
      </c>
      <c r="L21" s="3" t="str">
        <f t="shared" si="4"/>
        <v>correct</v>
      </c>
      <c r="M21" s="3">
        <f t="shared" si="5"/>
        <v>4</v>
      </c>
      <c r="N21" s="3">
        <f t="shared" si="7"/>
        <v>438.19</v>
      </c>
      <c r="O21" s="3">
        <f t="shared" si="8"/>
        <v>1752.76</v>
      </c>
    </row>
    <row r="22" spans="1:15">
      <c r="A22">
        <v>120</v>
      </c>
      <c r="B22" t="s">
        <v>92</v>
      </c>
      <c r="C22" t="s">
        <v>93</v>
      </c>
      <c r="D22" s="1">
        <v>45821</v>
      </c>
      <c r="E22" t="s">
        <v>95</v>
      </c>
      <c r="F22" s="2" t="str">
        <f t="shared" si="0"/>
        <v>Sports</v>
      </c>
      <c r="G22">
        <v>5</v>
      </c>
      <c r="H22">
        <v>300</v>
      </c>
      <c r="I22" t="s">
        <v>55</v>
      </c>
      <c r="J22" t="s">
        <v>43</v>
      </c>
      <c r="K22">
        <f>G22*H22</f>
        <v>1500</v>
      </c>
      <c r="L22" s="3" t="str">
        <f t="shared" si="4"/>
        <v>correct</v>
      </c>
      <c r="M22" s="3">
        <f t="shared" si="5"/>
        <v>5</v>
      </c>
      <c r="N22" s="3">
        <f t="shared" si="7"/>
        <v>300</v>
      </c>
      <c r="O22" s="3">
        <f t="shared" si="8"/>
        <v>1500</v>
      </c>
    </row>
    <row r="23" spans="1:15">
      <c r="A23">
        <v>121</v>
      </c>
      <c r="B23" t="s">
        <v>98</v>
      </c>
      <c r="C23" t="s">
        <v>99</v>
      </c>
      <c r="D23" s="1">
        <v>45941</v>
      </c>
      <c r="E23" t="s">
        <v>59</v>
      </c>
      <c r="F23" s="2" t="str">
        <f t="shared" si="0"/>
        <v>Sports</v>
      </c>
      <c r="G23">
        <v>4</v>
      </c>
      <c r="H23">
        <v>523.01</v>
      </c>
      <c r="I23" t="s">
        <v>55</v>
      </c>
      <c r="J23" t="s">
        <v>30</v>
      </c>
      <c r="K23">
        <v>2092.04</v>
      </c>
      <c r="L23" s="3" t="str">
        <f t="shared" si="4"/>
        <v>correct</v>
      </c>
      <c r="M23" s="3">
        <f t="shared" si="5"/>
        <v>4</v>
      </c>
      <c r="N23" s="3">
        <f t="shared" si="7"/>
        <v>523.01</v>
      </c>
      <c r="O23" s="3">
        <f t="shared" si="8"/>
        <v>2092.04</v>
      </c>
    </row>
    <row r="24" spans="1:15">
      <c r="A24">
        <v>122</v>
      </c>
      <c r="B24" t="s">
        <v>100</v>
      </c>
      <c r="C24" t="s">
        <v>101</v>
      </c>
      <c r="D24" s="1">
        <v>45793</v>
      </c>
      <c r="E24" t="s">
        <v>82</v>
      </c>
      <c r="F24" s="2" t="str">
        <f t="shared" si="0"/>
        <v>Home</v>
      </c>
      <c r="G24">
        <v>2</v>
      </c>
      <c r="H24">
        <v>556.93</v>
      </c>
      <c r="I24" t="s">
        <v>23</v>
      </c>
      <c r="J24" t="s">
        <v>17</v>
      </c>
      <c r="K24">
        <v>1113.86</v>
      </c>
      <c r="L24" s="3" t="str">
        <f t="shared" si="4"/>
        <v>correct</v>
      </c>
      <c r="M24" s="3">
        <f t="shared" si="5"/>
        <v>2</v>
      </c>
      <c r="N24" s="3">
        <f t="shared" si="7"/>
        <v>556.93</v>
      </c>
      <c r="O24" s="3">
        <f t="shared" si="8"/>
        <v>1113.86</v>
      </c>
    </row>
    <row r="25" spans="1:15">
      <c r="A25">
        <v>123</v>
      </c>
      <c r="B25" t="s">
        <v>103</v>
      </c>
      <c r="C25" t="s">
        <v>104</v>
      </c>
      <c r="D25" s="1">
        <v>45936</v>
      </c>
      <c r="E25" t="s">
        <v>105</v>
      </c>
      <c r="F25" s="2" t="str">
        <f t="shared" si="0"/>
        <v>Home</v>
      </c>
      <c r="G25">
        <v>3</v>
      </c>
      <c r="H25">
        <v>615.91</v>
      </c>
      <c r="I25" t="s">
        <v>16</v>
      </c>
      <c r="J25" t="s">
        <v>43</v>
      </c>
      <c r="K25">
        <v>1847.73</v>
      </c>
      <c r="L25" s="3" t="str">
        <f t="shared" si="4"/>
        <v>correct</v>
      </c>
      <c r="M25" s="3">
        <f t="shared" si="5"/>
        <v>3</v>
      </c>
      <c r="N25" s="3">
        <f t="shared" si="7"/>
        <v>615.91</v>
      </c>
      <c r="O25" s="3">
        <f t="shared" si="8"/>
        <v>1847.73</v>
      </c>
    </row>
    <row r="26" spans="1:15">
      <c r="A26">
        <v>124</v>
      </c>
      <c r="B26" t="s">
        <v>106</v>
      </c>
      <c r="C26" t="s">
        <v>107</v>
      </c>
      <c r="D26" s="1">
        <v>45808</v>
      </c>
      <c r="E26" t="s">
        <v>65</v>
      </c>
      <c r="F26" s="2" t="str">
        <f t="shared" si="0"/>
        <v>Books</v>
      </c>
      <c r="G26">
        <v>5</v>
      </c>
      <c r="I26" t="s">
        <v>23</v>
      </c>
      <c r="J26" t="s">
        <v>43</v>
      </c>
      <c r="L26" s="3" t="str">
        <f t="shared" si="4"/>
        <v>correct</v>
      </c>
      <c r="M26" s="3">
        <f t="shared" si="5"/>
        <v>5</v>
      </c>
      <c r="N26" s="3"/>
      <c r="O26" s="3"/>
    </row>
    <row r="27" spans="1:15">
      <c r="A27">
        <v>125</v>
      </c>
      <c r="B27" t="s">
        <v>108</v>
      </c>
      <c r="C27" t="s">
        <v>109</v>
      </c>
      <c r="D27" s="1">
        <v>45697</v>
      </c>
      <c r="E27" t="s">
        <v>65</v>
      </c>
      <c r="F27" s="2" t="str">
        <f t="shared" si="0"/>
        <v>Books</v>
      </c>
      <c r="G27">
        <v>4</v>
      </c>
      <c r="H27">
        <v>765.69</v>
      </c>
      <c r="I27" t="s">
        <v>23</v>
      </c>
      <c r="J27" t="s">
        <v>17</v>
      </c>
      <c r="K27">
        <v>3062.76</v>
      </c>
      <c r="L27" s="3" t="str">
        <f t="shared" si="4"/>
        <v>correct</v>
      </c>
      <c r="M27" s="3">
        <f t="shared" si="5"/>
        <v>4</v>
      </c>
      <c r="N27" s="3">
        <f>ABS(H27)</f>
        <v>765.69</v>
      </c>
      <c r="O27" s="3">
        <f>M27*N27</f>
        <v>3062.76</v>
      </c>
    </row>
    <row r="28" spans="1:15">
      <c r="A28">
        <v>126</v>
      </c>
      <c r="B28" t="s">
        <v>110</v>
      </c>
      <c r="C28" t="s">
        <v>111</v>
      </c>
      <c r="D28" s="1">
        <v>45795</v>
      </c>
      <c r="E28" t="s">
        <v>68</v>
      </c>
      <c r="F28" s="2" t="str">
        <f t="shared" si="0"/>
        <v>Clothing</v>
      </c>
      <c r="G28">
        <v>4</v>
      </c>
      <c r="H28">
        <v>836.8</v>
      </c>
      <c r="I28" t="s">
        <v>46</v>
      </c>
      <c r="J28" t="s">
        <v>43</v>
      </c>
      <c r="K28">
        <v>3347.2</v>
      </c>
      <c r="L28" s="3" t="str">
        <f t="shared" si="4"/>
        <v>correct</v>
      </c>
      <c r="M28" s="3">
        <f t="shared" si="5"/>
        <v>4</v>
      </c>
      <c r="N28" s="3">
        <f>ABS(H28)</f>
        <v>836.8</v>
      </c>
      <c r="O28" s="3">
        <f>M28*N28</f>
        <v>3347.2</v>
      </c>
    </row>
    <row r="29" spans="1:15">
      <c r="A29">
        <v>127</v>
      </c>
      <c r="B29" t="s">
        <v>113</v>
      </c>
      <c r="C29" t="s">
        <v>114</v>
      </c>
      <c r="D29" s="1">
        <v>45789</v>
      </c>
      <c r="E29" t="s">
        <v>14</v>
      </c>
      <c r="F29" s="2" t="str">
        <f t="shared" si="0"/>
        <v>Home</v>
      </c>
      <c r="G29">
        <v>5</v>
      </c>
      <c r="H29">
        <v>336.02</v>
      </c>
      <c r="I29" t="s">
        <v>46</v>
      </c>
      <c r="J29" t="s">
        <v>49</v>
      </c>
      <c r="K29">
        <v>1680.1</v>
      </c>
      <c r="L29" s="3" t="str">
        <f t="shared" si="4"/>
        <v>correct</v>
      </c>
      <c r="M29" s="3">
        <f t="shared" si="5"/>
        <v>5</v>
      </c>
      <c r="N29" s="3">
        <f>ABS(H29)</f>
        <v>336.02</v>
      </c>
      <c r="O29" s="3">
        <f>M29*N29</f>
        <v>1680.1</v>
      </c>
    </row>
    <row r="30" spans="1:15">
      <c r="A30">
        <v>128</v>
      </c>
      <c r="B30" t="s">
        <v>115</v>
      </c>
      <c r="C30" t="s">
        <v>116</v>
      </c>
      <c r="D30" s="1">
        <v>45606</v>
      </c>
      <c r="E30" t="s">
        <v>117</v>
      </c>
      <c r="F30" s="2" t="str">
        <f t="shared" si="0"/>
        <v>Home</v>
      </c>
      <c r="G30">
        <v>3</v>
      </c>
      <c r="H30">
        <v>898.69</v>
      </c>
      <c r="I30" t="s">
        <v>46</v>
      </c>
      <c r="J30" t="s">
        <v>30</v>
      </c>
      <c r="K30">
        <v>2696.07</v>
      </c>
      <c r="L30" s="3" t="str">
        <f t="shared" si="4"/>
        <v>correct</v>
      </c>
      <c r="M30" s="3">
        <f t="shared" si="5"/>
        <v>3</v>
      </c>
      <c r="N30" s="3">
        <f>ABS(H30)</f>
        <v>898.69</v>
      </c>
      <c r="O30" s="3">
        <f>M30*N30</f>
        <v>2696.07</v>
      </c>
    </row>
    <row r="31" spans="1:15">
      <c r="A31">
        <v>129</v>
      </c>
      <c r="B31" t="s">
        <v>119</v>
      </c>
      <c r="C31" t="s">
        <v>120</v>
      </c>
      <c r="D31" s="1">
        <v>45830</v>
      </c>
      <c r="E31" t="s">
        <v>34</v>
      </c>
      <c r="F31" s="2" t="str">
        <f t="shared" si="0"/>
        <v>Books</v>
      </c>
      <c r="G31">
        <v>4</v>
      </c>
      <c r="H31">
        <v>736.71</v>
      </c>
      <c r="I31" t="s">
        <v>46</v>
      </c>
      <c r="J31" t="s">
        <v>49</v>
      </c>
      <c r="K31">
        <v>2946.84</v>
      </c>
      <c r="L31" s="3" t="str">
        <f t="shared" si="4"/>
        <v>correct</v>
      </c>
      <c r="M31" s="3">
        <f t="shared" si="5"/>
        <v>4</v>
      </c>
      <c r="N31" s="3">
        <f>ABS(H31)</f>
        <v>736.71</v>
      </c>
      <c r="O31" s="3">
        <f>M31*N31</f>
        <v>2946.84</v>
      </c>
    </row>
    <row r="32" spans="1:15">
      <c r="A32">
        <v>130</v>
      </c>
      <c r="B32" t="s">
        <v>122</v>
      </c>
      <c r="C32" t="s">
        <v>123</v>
      </c>
      <c r="D32" s="1">
        <v>45884</v>
      </c>
      <c r="E32" t="s">
        <v>28</v>
      </c>
      <c r="F32" s="2" t="str">
        <f t="shared" si="0"/>
        <v>Sports</v>
      </c>
      <c r="G32">
        <v>2</v>
      </c>
      <c r="I32" t="s">
        <v>46</v>
      </c>
      <c r="J32" t="s">
        <v>24</v>
      </c>
      <c r="L32" s="3" t="str">
        <f t="shared" si="4"/>
        <v>correct</v>
      </c>
      <c r="M32" s="3">
        <f t="shared" si="5"/>
        <v>2</v>
      </c>
      <c r="N32" s="3"/>
      <c r="O32" s="3"/>
    </row>
    <row r="33" spans="1:15">
      <c r="A33">
        <v>131</v>
      </c>
      <c r="B33" t="s">
        <v>125</v>
      </c>
      <c r="C33" t="s">
        <v>126</v>
      </c>
      <c r="D33" s="1">
        <v>45819</v>
      </c>
      <c r="E33" t="s">
        <v>117</v>
      </c>
      <c r="F33" s="2" t="str">
        <f t="shared" si="0"/>
        <v>Home</v>
      </c>
      <c r="G33">
        <v>5</v>
      </c>
      <c r="H33">
        <v>616.63</v>
      </c>
      <c r="I33" t="s">
        <v>23</v>
      </c>
      <c r="J33" t="s">
        <v>17</v>
      </c>
      <c r="K33">
        <v>3083.15</v>
      </c>
      <c r="L33" s="3" t="str">
        <f t="shared" si="4"/>
        <v>correct</v>
      </c>
      <c r="M33" s="3">
        <f t="shared" si="5"/>
        <v>5</v>
      </c>
      <c r="N33" s="3">
        <f t="shared" ref="N33:N57" si="9">ABS(H33)</f>
        <v>616.63</v>
      </c>
      <c r="O33" s="3">
        <f t="shared" ref="O33:O57" si="10">M33*N33</f>
        <v>3083.15</v>
      </c>
    </row>
    <row r="34" spans="1:15">
      <c r="A34">
        <v>132</v>
      </c>
      <c r="B34" t="s">
        <v>127</v>
      </c>
      <c r="C34" t="s">
        <v>128</v>
      </c>
      <c r="D34" s="1">
        <v>45749</v>
      </c>
      <c r="E34" t="s">
        <v>95</v>
      </c>
      <c r="F34" s="2" t="str">
        <f t="shared" si="0"/>
        <v>Sports</v>
      </c>
      <c r="G34">
        <v>1</v>
      </c>
      <c r="H34">
        <v>266.7</v>
      </c>
      <c r="I34" t="s">
        <v>23</v>
      </c>
      <c r="J34" t="s">
        <v>30</v>
      </c>
      <c r="K34">
        <v>266.7</v>
      </c>
      <c r="L34" s="3" t="str">
        <f t="shared" si="4"/>
        <v>correct</v>
      </c>
      <c r="M34" s="3">
        <f t="shared" si="5"/>
        <v>1</v>
      </c>
      <c r="N34" s="3">
        <f t="shared" si="9"/>
        <v>266.7</v>
      </c>
      <c r="O34" s="3">
        <f t="shared" si="10"/>
        <v>266.7</v>
      </c>
    </row>
    <row r="35" spans="1:15">
      <c r="A35">
        <v>133</v>
      </c>
      <c r="B35" t="s">
        <v>129</v>
      </c>
      <c r="C35" t="s">
        <v>130</v>
      </c>
      <c r="D35" s="1">
        <v>45631</v>
      </c>
      <c r="E35" t="s">
        <v>39</v>
      </c>
      <c r="F35" s="2" t="str">
        <f t="shared" si="0"/>
        <v>Books</v>
      </c>
      <c r="G35">
        <v>5</v>
      </c>
      <c r="H35">
        <v>343.24</v>
      </c>
      <c r="I35" t="s">
        <v>55</v>
      </c>
      <c r="J35" t="s">
        <v>17</v>
      </c>
      <c r="K35">
        <v>1716.2</v>
      </c>
      <c r="L35" s="3" t="str">
        <f t="shared" si="4"/>
        <v>correct</v>
      </c>
      <c r="M35" s="3">
        <f t="shared" si="5"/>
        <v>5</v>
      </c>
      <c r="N35" s="3">
        <f t="shared" si="9"/>
        <v>343.24</v>
      </c>
      <c r="O35" s="3">
        <f t="shared" si="10"/>
        <v>1716.2</v>
      </c>
    </row>
    <row r="36" spans="1:15">
      <c r="A36">
        <v>134</v>
      </c>
      <c r="B36" t="s">
        <v>132</v>
      </c>
      <c r="C36" t="s">
        <v>133</v>
      </c>
      <c r="D36" s="1">
        <v>45934</v>
      </c>
      <c r="E36" t="s">
        <v>134</v>
      </c>
      <c r="F36" s="2" t="str">
        <f t="shared" si="0"/>
        <v>Clothing</v>
      </c>
      <c r="G36">
        <v>5</v>
      </c>
      <c r="H36">
        <v>591.53</v>
      </c>
      <c r="I36" t="s">
        <v>23</v>
      </c>
      <c r="J36" t="s">
        <v>17</v>
      </c>
      <c r="K36" s="3">
        <v>2957.65</v>
      </c>
      <c r="L36" s="3" t="str">
        <f t="shared" si="4"/>
        <v>correct</v>
      </c>
      <c r="M36" s="3">
        <f t="shared" si="5"/>
        <v>5</v>
      </c>
      <c r="N36" s="3">
        <f t="shared" si="9"/>
        <v>591.53</v>
      </c>
      <c r="O36" s="3">
        <f t="shared" si="10"/>
        <v>2957.65</v>
      </c>
    </row>
    <row r="37" spans="1:15">
      <c r="A37">
        <v>135</v>
      </c>
      <c r="B37" t="s">
        <v>135</v>
      </c>
      <c r="C37" t="s">
        <v>136</v>
      </c>
      <c r="D37" s="1">
        <v>45697</v>
      </c>
      <c r="E37" t="s">
        <v>137</v>
      </c>
      <c r="F37" s="2" t="str">
        <f t="shared" si="0"/>
        <v>Electronics</v>
      </c>
      <c r="G37">
        <v>4</v>
      </c>
      <c r="H37">
        <v>446.19</v>
      </c>
      <c r="I37" t="s">
        <v>16</v>
      </c>
      <c r="J37" t="s">
        <v>43</v>
      </c>
      <c r="K37">
        <v>1784.76</v>
      </c>
      <c r="L37" s="3" t="str">
        <f t="shared" si="4"/>
        <v>correct</v>
      </c>
      <c r="M37" s="3">
        <f t="shared" si="5"/>
        <v>4</v>
      </c>
      <c r="N37" s="3">
        <f t="shared" si="9"/>
        <v>446.19</v>
      </c>
      <c r="O37" s="3">
        <f t="shared" si="10"/>
        <v>1784.76</v>
      </c>
    </row>
    <row r="38" spans="1:15">
      <c r="A38">
        <v>136</v>
      </c>
      <c r="B38" t="s">
        <v>138</v>
      </c>
      <c r="C38" t="s">
        <v>139</v>
      </c>
      <c r="D38" s="1">
        <v>45820</v>
      </c>
      <c r="E38" t="s">
        <v>140</v>
      </c>
      <c r="F38" s="2" t="str">
        <f t="shared" si="0"/>
        <v>Electronics</v>
      </c>
      <c r="G38">
        <v>1</v>
      </c>
      <c r="H38">
        <v>696.71</v>
      </c>
      <c r="I38" t="s">
        <v>55</v>
      </c>
      <c r="J38" t="s">
        <v>30</v>
      </c>
      <c r="K38">
        <v>696.71</v>
      </c>
      <c r="L38" s="3" t="str">
        <f t="shared" si="4"/>
        <v>correct</v>
      </c>
      <c r="M38" s="3">
        <f t="shared" si="5"/>
        <v>1</v>
      </c>
      <c r="N38" s="3">
        <f t="shared" si="9"/>
        <v>696.71</v>
      </c>
      <c r="O38" s="3">
        <f t="shared" si="10"/>
        <v>696.71</v>
      </c>
    </row>
    <row r="39" spans="1:15">
      <c r="A39">
        <v>137</v>
      </c>
      <c r="B39" t="s">
        <v>141</v>
      </c>
      <c r="C39" t="s">
        <v>142</v>
      </c>
      <c r="D39" s="1">
        <v>45711</v>
      </c>
      <c r="E39" t="s">
        <v>105</v>
      </c>
      <c r="F39" s="2" t="str">
        <f t="shared" si="0"/>
        <v>Home</v>
      </c>
      <c r="G39">
        <v>3</v>
      </c>
      <c r="H39">
        <v>100</v>
      </c>
      <c r="I39" t="s">
        <v>16</v>
      </c>
      <c r="J39" t="s">
        <v>30</v>
      </c>
      <c r="K39">
        <v>300</v>
      </c>
      <c r="L39" s="3" t="str">
        <f t="shared" si="4"/>
        <v>correct</v>
      </c>
      <c r="M39" s="3">
        <f t="shared" si="5"/>
        <v>3</v>
      </c>
      <c r="N39" s="3">
        <f t="shared" si="9"/>
        <v>100</v>
      </c>
      <c r="O39" s="3">
        <f t="shared" si="10"/>
        <v>300</v>
      </c>
    </row>
    <row r="40" spans="1:15">
      <c r="A40">
        <v>138</v>
      </c>
      <c r="B40" t="s">
        <v>144</v>
      </c>
      <c r="C40" t="s">
        <v>145</v>
      </c>
      <c r="D40" s="1">
        <v>45878</v>
      </c>
      <c r="E40" t="s">
        <v>117</v>
      </c>
      <c r="F40" s="2" t="str">
        <f t="shared" si="0"/>
        <v>Home</v>
      </c>
      <c r="G40">
        <v>1</v>
      </c>
      <c r="H40">
        <v>531.06</v>
      </c>
      <c r="I40" t="s">
        <v>23</v>
      </c>
      <c r="J40" t="s">
        <v>24</v>
      </c>
      <c r="K40">
        <v>531.06</v>
      </c>
      <c r="L40" s="3" t="str">
        <f t="shared" si="4"/>
        <v>correct</v>
      </c>
      <c r="M40" s="3">
        <f t="shared" si="5"/>
        <v>1</v>
      </c>
      <c r="N40" s="3">
        <f t="shared" si="9"/>
        <v>531.06</v>
      </c>
      <c r="O40" s="3">
        <f t="shared" si="10"/>
        <v>531.06</v>
      </c>
    </row>
    <row r="41" spans="1:15">
      <c r="A41">
        <v>139</v>
      </c>
      <c r="B41" t="s">
        <v>146</v>
      </c>
      <c r="C41" t="s">
        <v>147</v>
      </c>
      <c r="D41" s="1">
        <v>45697</v>
      </c>
      <c r="E41" t="s">
        <v>20</v>
      </c>
      <c r="F41" s="2" t="str">
        <f t="shared" si="0"/>
        <v>Electronics</v>
      </c>
      <c r="G41">
        <v>2</v>
      </c>
      <c r="H41">
        <v>681.38</v>
      </c>
      <c r="I41" t="s">
        <v>55</v>
      </c>
      <c r="J41" t="s">
        <v>43</v>
      </c>
      <c r="K41">
        <v>1362.76</v>
      </c>
      <c r="L41" s="3" t="str">
        <f t="shared" si="4"/>
        <v>correct</v>
      </c>
      <c r="M41" s="3">
        <f t="shared" si="5"/>
        <v>2</v>
      </c>
      <c r="N41" s="3">
        <f t="shared" si="9"/>
        <v>681.38</v>
      </c>
      <c r="O41" s="3">
        <f t="shared" si="10"/>
        <v>1362.76</v>
      </c>
    </row>
    <row r="42" spans="1:15">
      <c r="A42">
        <v>140</v>
      </c>
      <c r="B42" t="s">
        <v>148</v>
      </c>
      <c r="C42" t="s">
        <v>149</v>
      </c>
      <c r="D42" s="1">
        <v>45714</v>
      </c>
      <c r="E42" t="s">
        <v>73</v>
      </c>
      <c r="F42" s="2" t="str">
        <f t="shared" si="0"/>
        <v>Books</v>
      </c>
      <c r="G42">
        <v>4</v>
      </c>
      <c r="H42">
        <v>588.98</v>
      </c>
      <c r="I42" t="s">
        <v>55</v>
      </c>
      <c r="J42" t="s">
        <v>49</v>
      </c>
      <c r="K42">
        <v>2355.92</v>
      </c>
      <c r="L42" s="3" t="str">
        <f t="shared" si="4"/>
        <v>correct</v>
      </c>
      <c r="M42" s="3">
        <f t="shared" si="5"/>
        <v>4</v>
      </c>
      <c r="N42" s="3">
        <f t="shared" si="9"/>
        <v>588.98</v>
      </c>
      <c r="O42" s="3">
        <f t="shared" si="10"/>
        <v>2355.92</v>
      </c>
    </row>
    <row r="43" spans="1:15">
      <c r="A43">
        <v>141</v>
      </c>
      <c r="B43" t="s">
        <v>151</v>
      </c>
      <c r="C43" t="s">
        <v>152</v>
      </c>
      <c r="D43" s="1">
        <v>45701</v>
      </c>
      <c r="E43" t="s">
        <v>73</v>
      </c>
      <c r="F43" s="2" t="str">
        <f t="shared" si="0"/>
        <v>Books</v>
      </c>
      <c r="G43">
        <v>3</v>
      </c>
      <c r="H43">
        <v>546.04</v>
      </c>
      <c r="I43" t="s">
        <v>16</v>
      </c>
      <c r="J43" t="s">
        <v>49</v>
      </c>
      <c r="K43">
        <v>1638.12</v>
      </c>
      <c r="L43" s="3" t="str">
        <f t="shared" si="4"/>
        <v>correct</v>
      </c>
      <c r="M43" s="3">
        <f t="shared" si="5"/>
        <v>3</v>
      </c>
      <c r="N43" s="3">
        <f t="shared" si="9"/>
        <v>546.04</v>
      </c>
      <c r="O43" s="3">
        <f t="shared" si="10"/>
        <v>1638.12</v>
      </c>
    </row>
    <row r="44" spans="1:15">
      <c r="A44">
        <v>142</v>
      </c>
      <c r="B44" t="s">
        <v>154</v>
      </c>
      <c r="C44" t="s">
        <v>155</v>
      </c>
      <c r="D44" s="1">
        <v>45960</v>
      </c>
      <c r="E44" t="s">
        <v>68</v>
      </c>
      <c r="F44" s="2" t="str">
        <f t="shared" si="0"/>
        <v>Clothing</v>
      </c>
      <c r="G44">
        <v>5</v>
      </c>
      <c r="H44">
        <v>645.26</v>
      </c>
      <c r="I44" t="s">
        <v>55</v>
      </c>
      <c r="J44" t="s">
        <v>17</v>
      </c>
      <c r="K44">
        <v>3226.3</v>
      </c>
      <c r="L44" s="3" t="str">
        <f t="shared" si="4"/>
        <v>correct</v>
      </c>
      <c r="M44" s="3">
        <f t="shared" si="5"/>
        <v>5</v>
      </c>
      <c r="N44" s="3">
        <f t="shared" si="9"/>
        <v>645.26</v>
      </c>
      <c r="O44" s="3">
        <f t="shared" si="10"/>
        <v>3226.3</v>
      </c>
    </row>
    <row r="45" spans="1:15">
      <c r="A45">
        <v>143</v>
      </c>
      <c r="B45" t="s">
        <v>156</v>
      </c>
      <c r="C45" t="s">
        <v>157</v>
      </c>
      <c r="D45" s="1">
        <v>45849</v>
      </c>
      <c r="E45" t="s">
        <v>134</v>
      </c>
      <c r="F45" s="2" t="str">
        <f t="shared" si="0"/>
        <v>Clothing</v>
      </c>
      <c r="G45">
        <v>5</v>
      </c>
      <c r="H45">
        <v>826.77</v>
      </c>
      <c r="I45" t="s">
        <v>46</v>
      </c>
      <c r="J45" t="s">
        <v>43</v>
      </c>
      <c r="K45">
        <v>4133.85</v>
      </c>
      <c r="L45" s="3" t="str">
        <f t="shared" si="4"/>
        <v>correct</v>
      </c>
      <c r="M45" s="3">
        <f t="shared" si="5"/>
        <v>5</v>
      </c>
      <c r="N45" s="3">
        <f t="shared" si="9"/>
        <v>826.77</v>
      </c>
      <c r="O45" s="3">
        <f t="shared" si="10"/>
        <v>4133.85</v>
      </c>
    </row>
    <row r="46" spans="1:15">
      <c r="A46">
        <v>144</v>
      </c>
      <c r="B46" t="s">
        <v>158</v>
      </c>
      <c r="C46" t="s">
        <v>159</v>
      </c>
      <c r="D46" s="1">
        <v>45684</v>
      </c>
      <c r="E46" t="s">
        <v>161</v>
      </c>
      <c r="F46" s="2" t="str">
        <f t="shared" si="0"/>
        <v>Sports</v>
      </c>
      <c r="G46">
        <v>5</v>
      </c>
      <c r="H46">
        <v>849.07</v>
      </c>
      <c r="I46" t="s">
        <v>46</v>
      </c>
      <c r="J46" t="s">
        <v>24</v>
      </c>
      <c r="K46">
        <v>4245.35</v>
      </c>
      <c r="L46" s="3" t="str">
        <f t="shared" si="4"/>
        <v>correct</v>
      </c>
      <c r="M46" s="3">
        <f t="shared" si="5"/>
        <v>5</v>
      </c>
      <c r="N46" s="3">
        <f t="shared" si="9"/>
        <v>849.07</v>
      </c>
      <c r="O46" s="3">
        <f t="shared" si="10"/>
        <v>4245.35</v>
      </c>
    </row>
    <row r="47" spans="1:15">
      <c r="A47">
        <v>145</v>
      </c>
      <c r="B47" t="s">
        <v>162</v>
      </c>
      <c r="C47" t="s">
        <v>163</v>
      </c>
      <c r="D47" s="1">
        <v>45047</v>
      </c>
      <c r="E47" t="s">
        <v>164</v>
      </c>
      <c r="F47" s="2" t="str">
        <f t="shared" si="0"/>
        <v>Electronics</v>
      </c>
      <c r="G47">
        <v>2</v>
      </c>
      <c r="H47">
        <v>860.99</v>
      </c>
      <c r="I47" t="s">
        <v>46</v>
      </c>
      <c r="J47" t="s">
        <v>49</v>
      </c>
      <c r="K47">
        <v>1721.98</v>
      </c>
      <c r="L47" s="3" t="str">
        <f t="shared" si="4"/>
        <v>correct</v>
      </c>
      <c r="M47" s="3">
        <f t="shared" si="5"/>
        <v>2</v>
      </c>
      <c r="N47" s="3">
        <f t="shared" si="9"/>
        <v>860.99</v>
      </c>
      <c r="O47" s="3">
        <f t="shared" si="10"/>
        <v>1721.98</v>
      </c>
    </row>
    <row r="48" spans="1:15">
      <c r="A48">
        <v>146</v>
      </c>
      <c r="B48" t="s">
        <v>165</v>
      </c>
      <c r="C48" t="s">
        <v>166</v>
      </c>
      <c r="D48" s="1">
        <v>45847</v>
      </c>
      <c r="E48" t="s">
        <v>59</v>
      </c>
      <c r="F48" s="2" t="str">
        <f t="shared" si="0"/>
        <v>Sports</v>
      </c>
      <c r="G48">
        <v>2</v>
      </c>
      <c r="H48">
        <v>705.42</v>
      </c>
      <c r="I48" t="s">
        <v>46</v>
      </c>
      <c r="J48" t="s">
        <v>24</v>
      </c>
      <c r="K48">
        <v>1410.84</v>
      </c>
      <c r="L48" s="3" t="str">
        <f t="shared" si="4"/>
        <v>correct</v>
      </c>
      <c r="M48" s="3">
        <f t="shared" si="5"/>
        <v>2</v>
      </c>
      <c r="N48" s="3">
        <f t="shared" si="9"/>
        <v>705.42</v>
      </c>
      <c r="O48" s="3">
        <f t="shared" si="10"/>
        <v>1410.84</v>
      </c>
    </row>
    <row r="49" spans="1:15">
      <c r="A49">
        <v>147</v>
      </c>
      <c r="B49" t="s">
        <v>167</v>
      </c>
      <c r="C49" t="s">
        <v>168</v>
      </c>
      <c r="D49" s="1">
        <v>45778</v>
      </c>
      <c r="E49" t="s">
        <v>169</v>
      </c>
      <c r="F49" s="2" t="str">
        <f t="shared" si="0"/>
        <v>Clothing</v>
      </c>
      <c r="G49">
        <v>4</v>
      </c>
      <c r="H49">
        <v>596.15</v>
      </c>
      <c r="I49" t="s">
        <v>16</v>
      </c>
      <c r="J49" t="s">
        <v>17</v>
      </c>
      <c r="K49">
        <v>2384.6</v>
      </c>
      <c r="L49" s="3" t="str">
        <f t="shared" si="4"/>
        <v>correct</v>
      </c>
      <c r="M49" s="3">
        <f t="shared" si="5"/>
        <v>4</v>
      </c>
      <c r="N49" s="3">
        <f t="shared" si="9"/>
        <v>596.15</v>
      </c>
      <c r="O49" s="3">
        <f t="shared" si="10"/>
        <v>2384.6</v>
      </c>
    </row>
    <row r="50" spans="1:15">
      <c r="A50">
        <v>148</v>
      </c>
      <c r="B50" t="s">
        <v>170</v>
      </c>
      <c r="C50" t="s">
        <v>171</v>
      </c>
      <c r="D50" s="1">
        <v>45729</v>
      </c>
      <c r="E50" t="s">
        <v>28</v>
      </c>
      <c r="F50" s="2" t="str">
        <f t="shared" si="0"/>
        <v>Sports</v>
      </c>
      <c r="G50">
        <v>1</v>
      </c>
      <c r="H50">
        <v>660.98</v>
      </c>
      <c r="I50" t="s">
        <v>16</v>
      </c>
      <c r="J50" t="s">
        <v>49</v>
      </c>
      <c r="K50">
        <v>660.98</v>
      </c>
      <c r="L50" s="3" t="str">
        <f t="shared" si="4"/>
        <v>correct</v>
      </c>
      <c r="M50" s="3">
        <f t="shared" si="5"/>
        <v>1</v>
      </c>
      <c r="N50" s="3">
        <f t="shared" si="9"/>
        <v>660.98</v>
      </c>
      <c r="O50" s="3">
        <f t="shared" si="10"/>
        <v>660.98</v>
      </c>
    </row>
    <row r="51" spans="1:15">
      <c r="A51">
        <v>149</v>
      </c>
      <c r="B51" t="s">
        <v>173</v>
      </c>
      <c r="C51" t="s">
        <v>174</v>
      </c>
      <c r="D51" s="1">
        <v>45837</v>
      </c>
      <c r="E51" t="s">
        <v>65</v>
      </c>
      <c r="F51" s="2" t="str">
        <f t="shared" si="0"/>
        <v>Books</v>
      </c>
      <c r="G51">
        <v>5</v>
      </c>
      <c r="H51">
        <v>896.38</v>
      </c>
      <c r="I51" t="s">
        <v>46</v>
      </c>
      <c r="J51" t="s">
        <v>43</v>
      </c>
      <c r="K51">
        <v>4481.9</v>
      </c>
      <c r="L51" s="3" t="str">
        <f t="shared" si="4"/>
        <v>correct</v>
      </c>
      <c r="M51" s="3">
        <f t="shared" si="5"/>
        <v>5</v>
      </c>
      <c r="N51" s="3">
        <f t="shared" si="9"/>
        <v>896.38</v>
      </c>
      <c r="O51" s="3">
        <f t="shared" si="10"/>
        <v>4481.9</v>
      </c>
    </row>
    <row r="52" spans="1:15">
      <c r="A52">
        <v>150</v>
      </c>
      <c r="B52" t="s">
        <v>176</v>
      </c>
      <c r="C52" t="s">
        <v>177</v>
      </c>
      <c r="D52" s="1">
        <v>45623</v>
      </c>
      <c r="E52" t="s">
        <v>95</v>
      </c>
      <c r="F52" s="2" t="str">
        <f t="shared" si="0"/>
        <v>Sports</v>
      </c>
      <c r="G52">
        <v>1</v>
      </c>
      <c r="H52">
        <v>206.19</v>
      </c>
      <c r="I52" t="s">
        <v>55</v>
      </c>
      <c r="J52" t="s">
        <v>49</v>
      </c>
      <c r="K52">
        <v>206.19</v>
      </c>
      <c r="L52" s="3" t="str">
        <f t="shared" si="4"/>
        <v>correct</v>
      </c>
      <c r="M52" s="3">
        <f t="shared" si="5"/>
        <v>1</v>
      </c>
      <c r="N52" s="3">
        <f t="shared" si="9"/>
        <v>206.19</v>
      </c>
      <c r="O52" s="3">
        <f t="shared" si="10"/>
        <v>206.19</v>
      </c>
    </row>
    <row r="53" spans="1:15">
      <c r="A53">
        <v>151</v>
      </c>
      <c r="B53" t="s">
        <v>179</v>
      </c>
      <c r="C53" t="s">
        <v>180</v>
      </c>
      <c r="D53" s="1">
        <v>45839</v>
      </c>
      <c r="E53" t="s">
        <v>65</v>
      </c>
      <c r="F53" s="2" t="str">
        <f t="shared" si="0"/>
        <v>Books</v>
      </c>
      <c r="G53">
        <v>2</v>
      </c>
      <c r="H53">
        <v>457.16</v>
      </c>
      <c r="I53" t="s">
        <v>23</v>
      </c>
      <c r="J53" t="s">
        <v>24</v>
      </c>
      <c r="K53">
        <f>G53*H53</f>
        <v>914.32</v>
      </c>
      <c r="L53" s="3" t="str">
        <f t="shared" si="4"/>
        <v>correct</v>
      </c>
      <c r="M53" s="3">
        <f t="shared" si="5"/>
        <v>2</v>
      </c>
      <c r="N53" s="3">
        <f t="shared" si="9"/>
        <v>457.16</v>
      </c>
      <c r="O53" s="3">
        <f t="shared" si="10"/>
        <v>914.32</v>
      </c>
    </row>
    <row r="54" spans="1:15">
      <c r="A54">
        <v>152</v>
      </c>
      <c r="B54" t="s">
        <v>181</v>
      </c>
      <c r="C54" t="s">
        <v>182</v>
      </c>
      <c r="D54" s="1">
        <v>45922</v>
      </c>
      <c r="E54" t="s">
        <v>117</v>
      </c>
      <c r="F54" s="2" t="str">
        <f t="shared" si="0"/>
        <v>Home</v>
      </c>
      <c r="G54">
        <v>3</v>
      </c>
      <c r="H54">
        <v>233.11</v>
      </c>
      <c r="I54" t="s">
        <v>23</v>
      </c>
      <c r="J54" t="s">
        <v>49</v>
      </c>
      <c r="K54">
        <v>699.33</v>
      </c>
      <c r="L54" s="3" t="str">
        <f t="shared" si="4"/>
        <v>correct</v>
      </c>
      <c r="M54" s="3">
        <f t="shared" si="5"/>
        <v>3</v>
      </c>
      <c r="N54" s="3">
        <f t="shared" si="9"/>
        <v>233.11</v>
      </c>
      <c r="O54" s="3">
        <f t="shared" si="10"/>
        <v>699.33</v>
      </c>
    </row>
    <row r="55" spans="1:15">
      <c r="A55">
        <v>153</v>
      </c>
      <c r="B55" t="s">
        <v>184</v>
      </c>
      <c r="C55" t="s">
        <v>185</v>
      </c>
      <c r="D55" s="1">
        <v>45854</v>
      </c>
      <c r="E55" t="s">
        <v>95</v>
      </c>
      <c r="F55" s="2" t="str">
        <f t="shared" si="0"/>
        <v>Sports</v>
      </c>
      <c r="G55">
        <v>4</v>
      </c>
      <c r="H55">
        <v>278.9</v>
      </c>
      <c r="I55" t="s">
        <v>16</v>
      </c>
      <c r="J55" t="s">
        <v>24</v>
      </c>
      <c r="K55">
        <v>1115.6</v>
      </c>
      <c r="L55" s="3" t="str">
        <f t="shared" si="4"/>
        <v>correct</v>
      </c>
      <c r="M55" s="3">
        <f t="shared" si="5"/>
        <v>4</v>
      </c>
      <c r="N55" s="3">
        <f t="shared" si="9"/>
        <v>278.9</v>
      </c>
      <c r="O55" s="3">
        <f t="shared" si="10"/>
        <v>1115.6</v>
      </c>
    </row>
    <row r="56" spans="1:15">
      <c r="A56">
        <v>154</v>
      </c>
      <c r="B56" t="s">
        <v>187</v>
      </c>
      <c r="C56" t="s">
        <v>188</v>
      </c>
      <c r="D56" s="1">
        <v>45709</v>
      </c>
      <c r="E56" t="s">
        <v>14</v>
      </c>
      <c r="F56" s="2" t="str">
        <f t="shared" si="0"/>
        <v>Home</v>
      </c>
      <c r="G56">
        <v>5</v>
      </c>
      <c r="H56">
        <v>789.64</v>
      </c>
      <c r="I56" t="s">
        <v>16</v>
      </c>
      <c r="J56" t="s">
        <v>43</v>
      </c>
      <c r="K56">
        <v>3948.2</v>
      </c>
      <c r="L56" s="3" t="str">
        <f t="shared" si="4"/>
        <v>correct</v>
      </c>
      <c r="M56" s="3">
        <f t="shared" si="5"/>
        <v>5</v>
      </c>
      <c r="N56" s="3">
        <f t="shared" si="9"/>
        <v>789.64</v>
      </c>
      <c r="O56" s="3">
        <f t="shared" si="10"/>
        <v>3948.2</v>
      </c>
    </row>
    <row r="57" spans="1:15">
      <c r="A57">
        <v>155</v>
      </c>
      <c r="B57" t="s">
        <v>190</v>
      </c>
      <c r="C57" t="s">
        <v>191</v>
      </c>
      <c r="D57" s="1">
        <v>45778</v>
      </c>
      <c r="E57" t="s">
        <v>68</v>
      </c>
      <c r="F57" s="2" t="str">
        <f t="shared" si="0"/>
        <v>Clothing</v>
      </c>
      <c r="G57">
        <v>1</v>
      </c>
      <c r="H57">
        <v>40.95</v>
      </c>
      <c r="I57" t="s">
        <v>23</v>
      </c>
      <c r="J57" t="s">
        <v>49</v>
      </c>
      <c r="K57">
        <v>40.95</v>
      </c>
      <c r="L57" s="3" t="str">
        <f t="shared" si="4"/>
        <v>correct</v>
      </c>
      <c r="M57" s="3">
        <f t="shared" si="5"/>
        <v>1</v>
      </c>
      <c r="N57" s="3">
        <f t="shared" si="9"/>
        <v>40.95</v>
      </c>
      <c r="O57" s="3">
        <f t="shared" si="10"/>
        <v>40.95</v>
      </c>
    </row>
    <row r="58" spans="1:15">
      <c r="A58">
        <v>156</v>
      </c>
      <c r="B58" t="s">
        <v>193</v>
      </c>
      <c r="C58" t="s">
        <v>194</v>
      </c>
      <c r="D58" s="1">
        <v>45624</v>
      </c>
      <c r="E58" t="s">
        <v>196</v>
      </c>
      <c r="F58" s="2" t="str">
        <f t="shared" si="0"/>
        <v>Clothing</v>
      </c>
      <c r="G58">
        <v>2</v>
      </c>
      <c r="I58" t="s">
        <v>46</v>
      </c>
      <c r="J58" t="s">
        <v>17</v>
      </c>
      <c r="L58" s="3" t="str">
        <f t="shared" si="4"/>
        <v>correct</v>
      </c>
      <c r="M58" s="3">
        <f t="shared" si="5"/>
        <v>2</v>
      </c>
      <c r="N58" s="3"/>
      <c r="O58" s="3"/>
    </row>
    <row r="59" spans="1:15">
      <c r="A59">
        <v>157</v>
      </c>
      <c r="B59" t="s">
        <v>197</v>
      </c>
      <c r="C59" t="s">
        <v>198</v>
      </c>
      <c r="D59" s="1">
        <v>45967</v>
      </c>
      <c r="E59" t="s">
        <v>169</v>
      </c>
      <c r="F59" s="2" t="str">
        <f t="shared" si="0"/>
        <v>Clothing</v>
      </c>
      <c r="G59">
        <v>4</v>
      </c>
      <c r="H59">
        <v>275.1</v>
      </c>
      <c r="I59" t="s">
        <v>46</v>
      </c>
      <c r="J59" t="s">
        <v>24</v>
      </c>
      <c r="K59">
        <v>1100.4</v>
      </c>
      <c r="L59" s="3" t="str">
        <f t="shared" si="4"/>
        <v>correct</v>
      </c>
      <c r="M59" s="3">
        <f t="shared" si="5"/>
        <v>4</v>
      </c>
      <c r="N59" s="3">
        <f t="shared" ref="N59:N84" si="11">ABS(H59)</f>
        <v>275.1</v>
      </c>
      <c r="O59" s="3">
        <f t="shared" ref="O59:O65" si="12">M59*N59</f>
        <v>1100.4</v>
      </c>
    </row>
    <row r="60" spans="1:15">
      <c r="A60">
        <v>158</v>
      </c>
      <c r="B60" t="s">
        <v>199</v>
      </c>
      <c r="C60" t="s">
        <v>200</v>
      </c>
      <c r="D60" s="1">
        <v>45752</v>
      </c>
      <c r="E60" t="s">
        <v>137</v>
      </c>
      <c r="F60" s="2" t="str">
        <f t="shared" si="0"/>
        <v>Electronics</v>
      </c>
      <c r="G60">
        <v>1</v>
      </c>
      <c r="H60">
        <v>933.58</v>
      </c>
      <c r="I60" t="s">
        <v>16</v>
      </c>
      <c r="J60" t="s">
        <v>17</v>
      </c>
      <c r="K60">
        <v>933.58</v>
      </c>
      <c r="L60" s="3" t="str">
        <f t="shared" si="4"/>
        <v>correct</v>
      </c>
      <c r="M60" s="3">
        <f t="shared" si="5"/>
        <v>1</v>
      </c>
      <c r="N60" s="3">
        <f t="shared" si="11"/>
        <v>933.58</v>
      </c>
      <c r="O60" s="3">
        <f t="shared" si="12"/>
        <v>933.58</v>
      </c>
    </row>
    <row r="61" spans="1:15">
      <c r="A61">
        <v>159</v>
      </c>
      <c r="B61" t="s">
        <v>201</v>
      </c>
      <c r="C61" t="s">
        <v>202</v>
      </c>
      <c r="D61" s="1">
        <v>45866</v>
      </c>
      <c r="E61" t="s">
        <v>82</v>
      </c>
      <c r="F61" s="2" t="str">
        <f t="shared" si="0"/>
        <v>Home</v>
      </c>
      <c r="G61">
        <v>3</v>
      </c>
      <c r="H61">
        <v>163.16</v>
      </c>
      <c r="I61" t="s">
        <v>23</v>
      </c>
      <c r="J61" t="s">
        <v>17</v>
      </c>
      <c r="K61">
        <v>489.48</v>
      </c>
      <c r="L61" s="3" t="str">
        <f t="shared" si="4"/>
        <v>correct</v>
      </c>
      <c r="M61" s="3">
        <f t="shared" si="5"/>
        <v>3</v>
      </c>
      <c r="N61" s="3">
        <f t="shared" si="11"/>
        <v>163.16</v>
      </c>
      <c r="O61" s="3">
        <f t="shared" si="12"/>
        <v>489.48</v>
      </c>
    </row>
    <row r="62" spans="1:15">
      <c r="A62">
        <v>160</v>
      </c>
      <c r="B62" t="s">
        <v>204</v>
      </c>
      <c r="C62" t="s">
        <v>205</v>
      </c>
      <c r="D62" s="1">
        <v>45660</v>
      </c>
      <c r="E62" t="s">
        <v>34</v>
      </c>
      <c r="F62" s="2" t="str">
        <f t="shared" si="0"/>
        <v>Books</v>
      </c>
      <c r="G62">
        <v>5</v>
      </c>
      <c r="H62">
        <v>242.52</v>
      </c>
      <c r="I62" t="s">
        <v>16</v>
      </c>
      <c r="J62" t="s">
        <v>49</v>
      </c>
      <c r="K62">
        <v>1212.6</v>
      </c>
      <c r="L62" s="3" t="str">
        <f t="shared" si="4"/>
        <v>correct</v>
      </c>
      <c r="M62" s="3">
        <f t="shared" si="5"/>
        <v>5</v>
      </c>
      <c r="N62" s="3">
        <f t="shared" si="11"/>
        <v>242.52</v>
      </c>
      <c r="O62" s="3">
        <f t="shared" si="12"/>
        <v>1212.6</v>
      </c>
    </row>
    <row r="63" spans="1:15">
      <c r="A63">
        <v>161</v>
      </c>
      <c r="B63" t="s">
        <v>206</v>
      </c>
      <c r="C63" t="s">
        <v>207</v>
      </c>
      <c r="D63" s="1">
        <v>45641</v>
      </c>
      <c r="E63" t="s">
        <v>34</v>
      </c>
      <c r="F63" s="2" t="str">
        <f t="shared" si="0"/>
        <v>Books</v>
      </c>
      <c r="G63">
        <v>4</v>
      </c>
      <c r="H63">
        <v>209.32</v>
      </c>
      <c r="I63" t="s">
        <v>46</v>
      </c>
      <c r="J63" t="s">
        <v>17</v>
      </c>
      <c r="K63">
        <v>837.28</v>
      </c>
      <c r="L63" s="3" t="str">
        <f t="shared" si="4"/>
        <v>correct</v>
      </c>
      <c r="M63" s="3">
        <f t="shared" si="5"/>
        <v>4</v>
      </c>
      <c r="N63" s="3">
        <f t="shared" si="11"/>
        <v>209.32</v>
      </c>
      <c r="O63" s="3">
        <f t="shared" si="12"/>
        <v>837.28</v>
      </c>
    </row>
    <row r="64" spans="1:15">
      <c r="A64">
        <v>162</v>
      </c>
      <c r="B64" t="s">
        <v>209</v>
      </c>
      <c r="C64" t="s">
        <v>210</v>
      </c>
      <c r="D64" s="1">
        <v>45796</v>
      </c>
      <c r="E64" t="s">
        <v>14</v>
      </c>
      <c r="F64" s="2" t="str">
        <f t="shared" si="0"/>
        <v>Home</v>
      </c>
      <c r="G64">
        <v>2</v>
      </c>
      <c r="H64">
        <v>155.76</v>
      </c>
      <c r="I64" t="s">
        <v>55</v>
      </c>
      <c r="J64" t="s">
        <v>49</v>
      </c>
      <c r="K64">
        <v>311.52</v>
      </c>
      <c r="L64" s="3" t="str">
        <f t="shared" si="4"/>
        <v>correct</v>
      </c>
      <c r="M64" s="3">
        <f t="shared" si="5"/>
        <v>2</v>
      </c>
      <c r="N64" s="3">
        <f t="shared" si="11"/>
        <v>155.76</v>
      </c>
      <c r="O64" s="3">
        <f t="shared" si="12"/>
        <v>311.52</v>
      </c>
    </row>
    <row r="65" spans="1:15">
      <c r="A65">
        <v>163</v>
      </c>
      <c r="B65" t="s">
        <v>212</v>
      </c>
      <c r="C65" t="s">
        <v>213</v>
      </c>
      <c r="D65" s="1">
        <v>44931</v>
      </c>
      <c r="E65" t="s">
        <v>137</v>
      </c>
      <c r="F65" s="2" t="str">
        <f t="shared" si="0"/>
        <v>Electronics</v>
      </c>
      <c r="G65">
        <v>3</v>
      </c>
      <c r="H65">
        <v>235.26</v>
      </c>
      <c r="I65" t="s">
        <v>16</v>
      </c>
      <c r="J65" t="s">
        <v>17</v>
      </c>
      <c r="K65">
        <v>705.78</v>
      </c>
      <c r="L65" s="3" t="str">
        <f t="shared" si="4"/>
        <v>correct</v>
      </c>
      <c r="M65" s="3">
        <f t="shared" si="5"/>
        <v>3</v>
      </c>
      <c r="N65" s="3">
        <f t="shared" si="11"/>
        <v>235.26</v>
      </c>
      <c r="O65" s="3">
        <f t="shared" si="12"/>
        <v>705.78</v>
      </c>
    </row>
    <row r="66" spans="1:15">
      <c r="A66">
        <v>164</v>
      </c>
      <c r="B66" t="s">
        <v>214</v>
      </c>
      <c r="C66" t="s">
        <v>215</v>
      </c>
      <c r="D66" s="1">
        <v>45697</v>
      </c>
      <c r="E66" t="s">
        <v>28</v>
      </c>
      <c r="F66" s="2" t="str">
        <f t="shared" ref="F66:F77" si="13">IF(OR(E66="Smartphone",E66="Laptop",E66="Smartwatch",E66="Headphones"),"Electronics",IF(OR(E66="Blender",E66="Microwave",E66="Vacuum",E66="Lamp"),"Home",IF(OR(E66="Shoes",E66="Jacket",E66="Jeans",E66="T-shirt"),"Clothing",IF(OR(E66="Tennis Racket",E66="Basketball",E66="Football",E66="Yoga Mat"),"Sports",IF(OR(E66="Science",E66="Fiction",E66="Biography",E66="Comics"),"Books","Unknown")))))</f>
        <v>Sports</v>
      </c>
      <c r="H66">
        <v>587.64</v>
      </c>
      <c r="I66" t="s">
        <v>55</v>
      </c>
      <c r="J66" t="s">
        <v>49</v>
      </c>
      <c r="L66" s="3" t="str">
        <f t="shared" si="4"/>
        <v>correct</v>
      </c>
      <c r="M66" s="3"/>
      <c r="N66" s="3">
        <f t="shared" si="11"/>
        <v>587.64</v>
      </c>
      <c r="O66" s="3"/>
    </row>
    <row r="67" spans="1:15">
      <c r="A67">
        <v>165</v>
      </c>
      <c r="B67" t="s">
        <v>216</v>
      </c>
      <c r="C67" t="s">
        <v>217</v>
      </c>
      <c r="D67" s="1">
        <v>45604</v>
      </c>
      <c r="E67" t="s">
        <v>68</v>
      </c>
      <c r="F67" s="2" t="str">
        <f t="shared" si="13"/>
        <v>Clothing</v>
      </c>
      <c r="G67">
        <v>2</v>
      </c>
      <c r="H67">
        <v>443.13</v>
      </c>
      <c r="I67" t="s">
        <v>55</v>
      </c>
      <c r="J67" t="s">
        <v>30</v>
      </c>
      <c r="K67">
        <v>886.26</v>
      </c>
      <c r="L67" s="3" t="str">
        <f t="shared" si="4"/>
        <v>correct</v>
      </c>
      <c r="M67" s="3">
        <f>ABS(G67)</f>
        <v>2</v>
      </c>
      <c r="N67" s="3">
        <f t="shared" si="11"/>
        <v>443.13</v>
      </c>
      <c r="O67" s="3">
        <f>M67*N67</f>
        <v>886.26</v>
      </c>
    </row>
    <row r="68" spans="1:15">
      <c r="A68">
        <v>166</v>
      </c>
      <c r="B68" t="s">
        <v>218</v>
      </c>
      <c r="C68" t="s">
        <v>219</v>
      </c>
      <c r="D68" s="1">
        <v>45841</v>
      </c>
      <c r="E68" t="s">
        <v>134</v>
      </c>
      <c r="F68" s="2" t="str">
        <f t="shared" si="13"/>
        <v>Clothing</v>
      </c>
      <c r="G68">
        <v>2</v>
      </c>
      <c r="H68">
        <v>569.38</v>
      </c>
      <c r="I68" t="s">
        <v>16</v>
      </c>
      <c r="J68" t="s">
        <v>17</v>
      </c>
      <c r="K68">
        <v>1138.76</v>
      </c>
      <c r="L68" s="3" t="str">
        <f t="shared" si="4"/>
        <v>correct</v>
      </c>
      <c r="M68" s="3">
        <f>ABS(G68)</f>
        <v>2</v>
      </c>
      <c r="N68" s="3">
        <f t="shared" si="11"/>
        <v>569.38</v>
      </c>
      <c r="O68" s="3">
        <f>M68*N68</f>
        <v>1138.76</v>
      </c>
    </row>
    <row r="69" spans="1:15">
      <c r="A69">
        <v>167</v>
      </c>
      <c r="B69" t="s">
        <v>220</v>
      </c>
      <c r="C69" t="s">
        <v>221</v>
      </c>
      <c r="D69" s="1">
        <v>45876</v>
      </c>
      <c r="E69" t="s">
        <v>59</v>
      </c>
      <c r="F69" s="2" t="str">
        <f t="shared" si="13"/>
        <v>Sports</v>
      </c>
      <c r="H69">
        <v>593.93</v>
      </c>
      <c r="I69" t="s">
        <v>16</v>
      </c>
      <c r="J69" t="s">
        <v>24</v>
      </c>
      <c r="L69" s="3" t="str">
        <f t="shared" si="4"/>
        <v>correct</v>
      </c>
      <c r="M69" s="3"/>
      <c r="N69" s="3">
        <f t="shared" si="11"/>
        <v>593.93</v>
      </c>
      <c r="O69" s="3"/>
    </row>
    <row r="70" spans="1:15">
      <c r="A70">
        <v>168</v>
      </c>
      <c r="B70" t="s">
        <v>222</v>
      </c>
      <c r="C70" t="s">
        <v>223</v>
      </c>
      <c r="D70" s="1">
        <v>45965</v>
      </c>
      <c r="E70" t="s">
        <v>39</v>
      </c>
      <c r="F70" s="2" t="str">
        <f t="shared" si="13"/>
        <v>Books</v>
      </c>
      <c r="G70">
        <v>2</v>
      </c>
      <c r="H70">
        <v>141.49</v>
      </c>
      <c r="I70" t="s">
        <v>23</v>
      </c>
      <c r="J70" t="s">
        <v>43</v>
      </c>
      <c r="K70">
        <v>282.98</v>
      </c>
      <c r="L70" s="3" t="str">
        <f t="shared" si="4"/>
        <v>correct</v>
      </c>
      <c r="M70" s="3">
        <f t="shared" ref="M70:M94" si="14">ABS(G70)</f>
        <v>2</v>
      </c>
      <c r="N70" s="3">
        <f t="shared" si="11"/>
        <v>141.49</v>
      </c>
      <c r="O70" s="3">
        <f t="shared" ref="O70:O84" si="15">M70*N70</f>
        <v>282.98</v>
      </c>
    </row>
    <row r="71" spans="1:15">
      <c r="A71">
        <v>169</v>
      </c>
      <c r="B71" t="s">
        <v>224</v>
      </c>
      <c r="C71" t="s">
        <v>225</v>
      </c>
      <c r="D71" s="1">
        <v>45881</v>
      </c>
      <c r="E71" t="s">
        <v>59</v>
      </c>
      <c r="F71" s="2" t="str">
        <f t="shared" si="13"/>
        <v>Sports</v>
      </c>
      <c r="G71">
        <v>1</v>
      </c>
      <c r="H71">
        <v>582.13</v>
      </c>
      <c r="I71" t="s">
        <v>55</v>
      </c>
      <c r="J71" t="s">
        <v>49</v>
      </c>
      <c r="K71">
        <v>582.13</v>
      </c>
      <c r="L71" s="3" t="str">
        <f t="shared" si="4"/>
        <v>correct</v>
      </c>
      <c r="M71" s="3">
        <f t="shared" si="14"/>
        <v>1</v>
      </c>
      <c r="N71" s="3">
        <f t="shared" si="11"/>
        <v>582.13</v>
      </c>
      <c r="O71" s="3">
        <f t="shared" si="15"/>
        <v>582.13</v>
      </c>
    </row>
    <row r="72" spans="1:15">
      <c r="A72">
        <v>170</v>
      </c>
      <c r="B72" t="s">
        <v>226</v>
      </c>
      <c r="C72" t="s">
        <v>227</v>
      </c>
      <c r="D72" s="1">
        <v>45933</v>
      </c>
      <c r="E72" t="s">
        <v>196</v>
      </c>
      <c r="F72" s="2" t="str">
        <f t="shared" si="13"/>
        <v>Clothing</v>
      </c>
      <c r="G72">
        <v>5</v>
      </c>
      <c r="H72">
        <v>741.63</v>
      </c>
      <c r="I72" t="s">
        <v>46</v>
      </c>
      <c r="J72" t="s">
        <v>24</v>
      </c>
      <c r="K72">
        <v>3708.15</v>
      </c>
      <c r="L72" s="3" t="str">
        <f t="shared" si="4"/>
        <v>correct</v>
      </c>
      <c r="M72" s="3">
        <f t="shared" si="14"/>
        <v>5</v>
      </c>
      <c r="N72" s="3">
        <f t="shared" si="11"/>
        <v>741.63</v>
      </c>
      <c r="O72" s="3">
        <f t="shared" si="15"/>
        <v>3708.15</v>
      </c>
    </row>
    <row r="73" spans="1:15">
      <c r="A73">
        <v>171</v>
      </c>
      <c r="B73" t="s">
        <v>228</v>
      </c>
      <c r="C73" t="s">
        <v>229</v>
      </c>
      <c r="D73" s="1">
        <v>45632</v>
      </c>
      <c r="E73" t="s">
        <v>68</v>
      </c>
      <c r="F73" s="2" t="str">
        <f t="shared" si="13"/>
        <v>Clothing</v>
      </c>
      <c r="G73">
        <v>3</v>
      </c>
      <c r="H73">
        <v>688.68</v>
      </c>
      <c r="I73" t="s">
        <v>23</v>
      </c>
      <c r="J73" t="s">
        <v>24</v>
      </c>
      <c r="K73">
        <v>2066.04</v>
      </c>
      <c r="L73" s="3" t="str">
        <f t="shared" ref="L73:L101" si="16">IF(G73*H73=K73,"correct","incorrect")</f>
        <v>correct</v>
      </c>
      <c r="M73" s="3">
        <f t="shared" si="14"/>
        <v>3</v>
      </c>
      <c r="N73" s="3">
        <f t="shared" si="11"/>
        <v>688.68</v>
      </c>
      <c r="O73" s="3">
        <f t="shared" si="15"/>
        <v>2066.04</v>
      </c>
    </row>
    <row r="74" spans="1:15">
      <c r="A74">
        <v>172</v>
      </c>
      <c r="B74" t="s">
        <v>230</v>
      </c>
      <c r="C74" t="s">
        <v>231</v>
      </c>
      <c r="D74" s="1">
        <v>45614</v>
      </c>
      <c r="E74" t="s">
        <v>65</v>
      </c>
      <c r="F74" s="2" t="str">
        <f t="shared" si="13"/>
        <v>Books</v>
      </c>
      <c r="G74">
        <v>2</v>
      </c>
      <c r="H74">
        <v>942.76</v>
      </c>
      <c r="I74" t="s">
        <v>46</v>
      </c>
      <c r="J74" t="s">
        <v>49</v>
      </c>
      <c r="K74">
        <v>1885.52</v>
      </c>
      <c r="L74" s="3" t="str">
        <f t="shared" si="16"/>
        <v>correct</v>
      </c>
      <c r="M74" s="3">
        <f t="shared" si="14"/>
        <v>2</v>
      </c>
      <c r="N74" s="3">
        <f t="shared" si="11"/>
        <v>942.76</v>
      </c>
      <c r="O74" s="3">
        <f t="shared" si="15"/>
        <v>1885.52</v>
      </c>
    </row>
    <row r="75" spans="1:15">
      <c r="A75">
        <v>173</v>
      </c>
      <c r="B75" t="s">
        <v>233</v>
      </c>
      <c r="C75" t="s">
        <v>234</v>
      </c>
      <c r="D75" s="1">
        <v>45941</v>
      </c>
      <c r="E75" t="s">
        <v>117</v>
      </c>
      <c r="F75" s="2" t="str">
        <f t="shared" si="13"/>
        <v>Home</v>
      </c>
      <c r="G75">
        <v>5</v>
      </c>
      <c r="H75">
        <v>351.89</v>
      </c>
      <c r="I75" t="s">
        <v>55</v>
      </c>
      <c r="J75" t="s">
        <v>17</v>
      </c>
      <c r="K75">
        <v>1759.45</v>
      </c>
      <c r="L75" s="3" t="str">
        <f t="shared" si="16"/>
        <v>correct</v>
      </c>
      <c r="M75" s="3">
        <f t="shared" si="14"/>
        <v>5</v>
      </c>
      <c r="N75" s="3">
        <f t="shared" si="11"/>
        <v>351.89</v>
      </c>
      <c r="O75" s="3">
        <f t="shared" si="15"/>
        <v>1759.45</v>
      </c>
    </row>
    <row r="76" spans="1:15">
      <c r="A76">
        <v>174</v>
      </c>
      <c r="B76" t="s">
        <v>235</v>
      </c>
      <c r="C76" t="s">
        <v>236</v>
      </c>
      <c r="D76" s="1">
        <v>45920</v>
      </c>
      <c r="E76" t="s">
        <v>82</v>
      </c>
      <c r="F76" s="2" t="str">
        <f t="shared" si="13"/>
        <v>Home</v>
      </c>
      <c r="G76">
        <v>4</v>
      </c>
      <c r="H76">
        <v>187.48</v>
      </c>
      <c r="I76" t="s">
        <v>55</v>
      </c>
      <c r="J76" t="s">
        <v>49</v>
      </c>
      <c r="K76">
        <v>749.92</v>
      </c>
      <c r="L76" s="3" t="str">
        <f t="shared" si="16"/>
        <v>correct</v>
      </c>
      <c r="M76" s="3">
        <f t="shared" si="14"/>
        <v>4</v>
      </c>
      <c r="N76" s="3">
        <f t="shared" si="11"/>
        <v>187.48</v>
      </c>
      <c r="O76" s="3">
        <f t="shared" si="15"/>
        <v>749.92</v>
      </c>
    </row>
    <row r="77" spans="1:15">
      <c r="A77">
        <v>175</v>
      </c>
      <c r="B77" t="s">
        <v>238</v>
      </c>
      <c r="C77" t="s">
        <v>239</v>
      </c>
      <c r="D77" s="1">
        <v>45712</v>
      </c>
      <c r="E77" t="s">
        <v>140</v>
      </c>
      <c r="F77" s="2" t="str">
        <f t="shared" si="13"/>
        <v>Electronics</v>
      </c>
      <c r="G77">
        <v>1</v>
      </c>
      <c r="H77">
        <v>111.36</v>
      </c>
      <c r="I77" t="s">
        <v>55</v>
      </c>
      <c r="J77" t="s">
        <v>24</v>
      </c>
      <c r="K77">
        <v>111.36</v>
      </c>
      <c r="L77" s="3" t="str">
        <f t="shared" si="16"/>
        <v>correct</v>
      </c>
      <c r="M77" s="3">
        <f t="shared" si="14"/>
        <v>1</v>
      </c>
      <c r="N77" s="3">
        <f t="shared" si="11"/>
        <v>111.36</v>
      </c>
      <c r="O77" s="3">
        <f t="shared" si="15"/>
        <v>111.36</v>
      </c>
    </row>
    <row r="78" spans="1:15">
      <c r="A78">
        <v>176</v>
      </c>
      <c r="B78" t="s">
        <v>241</v>
      </c>
      <c r="C78" t="s">
        <v>242</v>
      </c>
      <c r="D78" s="1">
        <v>45860</v>
      </c>
      <c r="E78" t="s">
        <v>65</v>
      </c>
      <c r="F78" s="2" t="str">
        <f t="shared" ref="F78:F103" si="17">IF(OR(E78="Smartphone",E78="Laptop",E78="Smartwatch",E78="Headphones"),"Electronics",IF(OR(E78="Blender",E78="Microwave",E78="Vacuum",E78="Lamp"),"Home",IF(OR(E78="Shoes",E78="Jacket",E78="Jeans",E78="T-shirt"),"Clothing",IF(OR(E78="Tennis Racket",E78="Basketball",E78="Football",E78="Yoga Mat"),"Sports",IF(OR(E78="Science",E78="Fiction",E78="Biography",E78="Comics"),"Books","Unknown")))))</f>
        <v>Books</v>
      </c>
      <c r="G78">
        <v>5</v>
      </c>
      <c r="H78">
        <v>530.52</v>
      </c>
      <c r="I78" t="s">
        <v>16</v>
      </c>
      <c r="J78" t="s">
        <v>17</v>
      </c>
      <c r="K78">
        <v>2652.6</v>
      </c>
      <c r="L78" s="3" t="str">
        <f t="shared" si="16"/>
        <v>correct</v>
      </c>
      <c r="M78" s="3">
        <f t="shared" si="14"/>
        <v>5</v>
      </c>
      <c r="N78" s="3">
        <f t="shared" si="11"/>
        <v>530.52</v>
      </c>
      <c r="O78" s="3">
        <f t="shared" si="15"/>
        <v>2652.6</v>
      </c>
    </row>
    <row r="79" spans="1:15">
      <c r="A79">
        <v>177</v>
      </c>
      <c r="B79" t="s">
        <v>244</v>
      </c>
      <c r="C79" t="s">
        <v>245</v>
      </c>
      <c r="D79" s="1">
        <v>45866</v>
      </c>
      <c r="E79" t="s">
        <v>164</v>
      </c>
      <c r="F79" s="2" t="str">
        <f t="shared" si="17"/>
        <v>Electronics</v>
      </c>
      <c r="G79">
        <v>1</v>
      </c>
      <c r="H79">
        <v>69.48</v>
      </c>
      <c r="I79" t="s">
        <v>46</v>
      </c>
      <c r="J79" t="s">
        <v>49</v>
      </c>
      <c r="K79">
        <v>69.48</v>
      </c>
      <c r="L79" s="3" t="str">
        <f t="shared" si="16"/>
        <v>correct</v>
      </c>
      <c r="M79" s="3">
        <f t="shared" si="14"/>
        <v>1</v>
      </c>
      <c r="N79" s="3">
        <f t="shared" si="11"/>
        <v>69.48</v>
      </c>
      <c r="O79" s="3">
        <f t="shared" si="15"/>
        <v>69.48</v>
      </c>
    </row>
    <row r="80" spans="1:15">
      <c r="A80">
        <v>178</v>
      </c>
      <c r="B80" t="s">
        <v>246</v>
      </c>
      <c r="C80" t="s">
        <v>247</v>
      </c>
      <c r="D80" s="1">
        <v>45918</v>
      </c>
      <c r="E80" t="s">
        <v>28</v>
      </c>
      <c r="F80" s="2" t="str">
        <f t="shared" si="17"/>
        <v>Sports</v>
      </c>
      <c r="G80">
        <v>3</v>
      </c>
      <c r="H80">
        <v>472.14</v>
      </c>
      <c r="I80" t="s">
        <v>23</v>
      </c>
      <c r="J80" t="s">
        <v>49</v>
      </c>
      <c r="K80">
        <v>1416.42</v>
      </c>
      <c r="L80" s="3" t="str">
        <f t="shared" si="16"/>
        <v>correct</v>
      </c>
      <c r="M80" s="3">
        <f t="shared" si="14"/>
        <v>3</v>
      </c>
      <c r="N80" s="3">
        <f t="shared" si="11"/>
        <v>472.14</v>
      </c>
      <c r="O80" s="3">
        <f t="shared" si="15"/>
        <v>1416.42</v>
      </c>
    </row>
    <row r="81" spans="1:15">
      <c r="A81">
        <v>179</v>
      </c>
      <c r="B81" t="s">
        <v>249</v>
      </c>
      <c r="C81" t="s">
        <v>250</v>
      </c>
      <c r="D81" s="1">
        <v>45903</v>
      </c>
      <c r="E81" t="s">
        <v>95</v>
      </c>
      <c r="F81" s="2" t="str">
        <f t="shared" si="17"/>
        <v>Sports</v>
      </c>
      <c r="G81">
        <v>3</v>
      </c>
      <c r="H81">
        <v>868.67</v>
      </c>
      <c r="I81" t="s">
        <v>23</v>
      </c>
      <c r="J81" t="s">
        <v>30</v>
      </c>
      <c r="K81">
        <v>2606.01</v>
      </c>
      <c r="L81" s="3" t="str">
        <f t="shared" si="16"/>
        <v>correct</v>
      </c>
      <c r="M81" s="3">
        <f t="shared" si="14"/>
        <v>3</v>
      </c>
      <c r="N81" s="3">
        <f t="shared" si="11"/>
        <v>868.67</v>
      </c>
      <c r="O81" s="3">
        <f t="shared" si="15"/>
        <v>2606.01</v>
      </c>
    </row>
    <row r="82" spans="1:15">
      <c r="A82">
        <v>180</v>
      </c>
      <c r="B82" t="s">
        <v>251</v>
      </c>
      <c r="C82" t="s">
        <v>252</v>
      </c>
      <c r="D82" s="1">
        <v>45742</v>
      </c>
      <c r="E82" t="s">
        <v>164</v>
      </c>
      <c r="F82" s="2" t="str">
        <f t="shared" si="17"/>
        <v>Electronics</v>
      </c>
      <c r="G82">
        <v>2</v>
      </c>
      <c r="H82">
        <v>418.38</v>
      </c>
      <c r="I82" t="s">
        <v>55</v>
      </c>
      <c r="J82" t="s">
        <v>24</v>
      </c>
      <c r="K82">
        <v>836.76</v>
      </c>
      <c r="L82" s="3" t="str">
        <f t="shared" si="16"/>
        <v>correct</v>
      </c>
      <c r="M82" s="3">
        <f t="shared" si="14"/>
        <v>2</v>
      </c>
      <c r="N82" s="3">
        <f t="shared" si="11"/>
        <v>418.38</v>
      </c>
      <c r="O82" s="3">
        <f t="shared" si="15"/>
        <v>836.76</v>
      </c>
    </row>
    <row r="83" spans="1:15">
      <c r="A83">
        <v>181</v>
      </c>
      <c r="B83" t="s">
        <v>254</v>
      </c>
      <c r="C83" t="s">
        <v>255</v>
      </c>
      <c r="D83" s="1">
        <v>45655</v>
      </c>
      <c r="E83" t="s">
        <v>20</v>
      </c>
      <c r="F83" s="2" t="str">
        <f t="shared" si="17"/>
        <v>Electronics</v>
      </c>
      <c r="G83">
        <v>1</v>
      </c>
      <c r="H83">
        <v>266.48</v>
      </c>
      <c r="I83" t="s">
        <v>16</v>
      </c>
      <c r="J83" t="s">
        <v>43</v>
      </c>
      <c r="K83">
        <v>266.48</v>
      </c>
      <c r="L83" s="3" t="str">
        <f t="shared" si="16"/>
        <v>correct</v>
      </c>
      <c r="M83" s="3">
        <f t="shared" si="14"/>
        <v>1</v>
      </c>
      <c r="N83" s="3">
        <f t="shared" si="11"/>
        <v>266.48</v>
      </c>
      <c r="O83" s="3">
        <f t="shared" si="15"/>
        <v>266.48</v>
      </c>
    </row>
    <row r="84" spans="1:15">
      <c r="A84">
        <v>182</v>
      </c>
      <c r="B84" t="s">
        <v>257</v>
      </c>
      <c r="C84" t="s">
        <v>258</v>
      </c>
      <c r="D84" s="1">
        <v>45872</v>
      </c>
      <c r="E84" t="s">
        <v>68</v>
      </c>
      <c r="F84" s="2" t="str">
        <f t="shared" si="17"/>
        <v>Clothing</v>
      </c>
      <c r="G84">
        <v>4</v>
      </c>
      <c r="H84">
        <v>538.35</v>
      </c>
      <c r="I84" t="s">
        <v>23</v>
      </c>
      <c r="J84" t="s">
        <v>24</v>
      </c>
      <c r="K84">
        <v>2153.4</v>
      </c>
      <c r="L84" s="3" t="str">
        <f t="shared" si="16"/>
        <v>correct</v>
      </c>
      <c r="M84" s="3">
        <f t="shared" si="14"/>
        <v>4</v>
      </c>
      <c r="N84" s="3">
        <f t="shared" si="11"/>
        <v>538.35</v>
      </c>
      <c r="O84" s="3">
        <f t="shared" si="15"/>
        <v>2153.4</v>
      </c>
    </row>
    <row r="85" spans="1:15">
      <c r="A85">
        <v>183</v>
      </c>
      <c r="B85" t="s">
        <v>259</v>
      </c>
      <c r="C85" t="s">
        <v>260</v>
      </c>
      <c r="D85" s="1">
        <v>45726</v>
      </c>
      <c r="E85" t="s">
        <v>68</v>
      </c>
      <c r="F85" s="2" t="str">
        <f t="shared" si="17"/>
        <v>Clothing</v>
      </c>
      <c r="G85">
        <v>5</v>
      </c>
      <c r="I85" t="s">
        <v>16</v>
      </c>
      <c r="J85" t="s">
        <v>49</v>
      </c>
      <c r="L85" s="3" t="str">
        <f t="shared" si="16"/>
        <v>correct</v>
      </c>
      <c r="M85" s="3">
        <f t="shared" si="14"/>
        <v>5</v>
      </c>
      <c r="N85" s="3"/>
      <c r="O85" s="3"/>
    </row>
    <row r="86" spans="1:15">
      <c r="A86">
        <v>184</v>
      </c>
      <c r="B86" t="s">
        <v>261</v>
      </c>
      <c r="C86" t="s">
        <v>262</v>
      </c>
      <c r="D86" s="1">
        <v>45703</v>
      </c>
      <c r="E86" t="s">
        <v>196</v>
      </c>
      <c r="F86" s="2" t="str">
        <f t="shared" si="17"/>
        <v>Clothing</v>
      </c>
      <c r="G86">
        <v>4</v>
      </c>
      <c r="H86">
        <v>101.19</v>
      </c>
      <c r="I86" t="s">
        <v>46</v>
      </c>
      <c r="J86" t="s">
        <v>24</v>
      </c>
      <c r="K86">
        <v>404.76</v>
      </c>
      <c r="L86" s="3" t="str">
        <f t="shared" si="16"/>
        <v>correct</v>
      </c>
      <c r="M86" s="3">
        <f t="shared" si="14"/>
        <v>4</v>
      </c>
      <c r="N86" s="3">
        <f t="shared" ref="N86:N97" si="18">ABS(H86)</f>
        <v>101.19</v>
      </c>
      <c r="O86" s="3">
        <f t="shared" ref="O86:O94" si="19">M86*N86</f>
        <v>404.76</v>
      </c>
    </row>
    <row r="87" spans="1:15">
      <c r="A87">
        <v>185</v>
      </c>
      <c r="B87" t="s">
        <v>264</v>
      </c>
      <c r="C87" t="s">
        <v>265</v>
      </c>
      <c r="D87" s="1">
        <v>45883</v>
      </c>
      <c r="E87" t="s">
        <v>161</v>
      </c>
      <c r="F87" s="2" t="str">
        <f t="shared" si="17"/>
        <v>Sports</v>
      </c>
      <c r="G87">
        <v>2</v>
      </c>
      <c r="H87">
        <v>730.92</v>
      </c>
      <c r="I87" t="s">
        <v>16</v>
      </c>
      <c r="J87" t="s">
        <v>43</v>
      </c>
      <c r="K87">
        <f>G87*H87</f>
        <v>1461.84</v>
      </c>
      <c r="L87" s="3" t="str">
        <f t="shared" si="16"/>
        <v>correct</v>
      </c>
      <c r="M87" s="3">
        <f t="shared" si="14"/>
        <v>2</v>
      </c>
      <c r="N87" s="3">
        <f t="shared" si="18"/>
        <v>730.92</v>
      </c>
      <c r="O87" s="3">
        <f t="shared" si="19"/>
        <v>1461.84</v>
      </c>
    </row>
    <row r="88" spans="1:15">
      <c r="A88">
        <v>186</v>
      </c>
      <c r="B88" t="s">
        <v>267</v>
      </c>
      <c r="C88" t="s">
        <v>268</v>
      </c>
      <c r="D88" s="1">
        <v>45936</v>
      </c>
      <c r="E88" t="s">
        <v>164</v>
      </c>
      <c r="F88" s="2" t="str">
        <f t="shared" si="17"/>
        <v>Electronics</v>
      </c>
      <c r="G88">
        <v>1</v>
      </c>
      <c r="H88">
        <v>365.34</v>
      </c>
      <c r="I88" t="s">
        <v>46</v>
      </c>
      <c r="J88" t="s">
        <v>30</v>
      </c>
      <c r="K88">
        <v>365.34</v>
      </c>
      <c r="L88" s="3" t="str">
        <f t="shared" si="16"/>
        <v>correct</v>
      </c>
      <c r="M88" s="3">
        <f t="shared" si="14"/>
        <v>1</v>
      </c>
      <c r="N88" s="3">
        <f t="shared" si="18"/>
        <v>365.34</v>
      </c>
      <c r="O88" s="3">
        <f t="shared" si="19"/>
        <v>365.34</v>
      </c>
    </row>
    <row r="89" spans="1:15">
      <c r="A89">
        <v>187</v>
      </c>
      <c r="B89" t="s">
        <v>269</v>
      </c>
      <c r="C89" t="s">
        <v>270</v>
      </c>
      <c r="D89" s="1">
        <v>45615</v>
      </c>
      <c r="E89" t="s">
        <v>20</v>
      </c>
      <c r="F89" s="2" t="str">
        <f t="shared" si="17"/>
        <v>Electronics</v>
      </c>
      <c r="G89">
        <v>3</v>
      </c>
      <c r="H89">
        <v>882.96</v>
      </c>
      <c r="I89" t="s">
        <v>46</v>
      </c>
      <c r="J89" t="s">
        <v>49</v>
      </c>
      <c r="K89">
        <v>2648.88</v>
      </c>
      <c r="L89" s="3" t="str">
        <f t="shared" si="16"/>
        <v>correct</v>
      </c>
      <c r="M89" s="3">
        <f t="shared" si="14"/>
        <v>3</v>
      </c>
      <c r="N89" s="3">
        <f t="shared" si="18"/>
        <v>882.96</v>
      </c>
      <c r="O89" s="3">
        <f t="shared" si="19"/>
        <v>2648.88</v>
      </c>
    </row>
    <row r="90" spans="1:15">
      <c r="A90">
        <v>188</v>
      </c>
      <c r="B90" t="s">
        <v>272</v>
      </c>
      <c r="C90" t="s">
        <v>273</v>
      </c>
      <c r="D90" s="1">
        <v>45615</v>
      </c>
      <c r="E90" t="s">
        <v>82</v>
      </c>
      <c r="F90" s="2" t="str">
        <f t="shared" si="17"/>
        <v>Home</v>
      </c>
      <c r="G90">
        <v>5</v>
      </c>
      <c r="H90">
        <v>504.05</v>
      </c>
      <c r="I90" t="s">
        <v>16</v>
      </c>
      <c r="J90" t="s">
        <v>17</v>
      </c>
      <c r="K90">
        <v>2520.25</v>
      </c>
      <c r="L90" s="3" t="str">
        <f t="shared" si="16"/>
        <v>correct</v>
      </c>
      <c r="M90" s="3">
        <f t="shared" si="14"/>
        <v>5</v>
      </c>
      <c r="N90" s="3">
        <f t="shared" si="18"/>
        <v>504.05</v>
      </c>
      <c r="O90" s="3">
        <f t="shared" si="19"/>
        <v>2520.25</v>
      </c>
    </row>
    <row r="91" spans="1:15">
      <c r="A91">
        <v>189</v>
      </c>
      <c r="B91" t="s">
        <v>274</v>
      </c>
      <c r="C91" t="s">
        <v>275</v>
      </c>
      <c r="D91" s="1">
        <v>45883</v>
      </c>
      <c r="E91" t="s">
        <v>117</v>
      </c>
      <c r="F91" s="2" t="str">
        <f t="shared" si="17"/>
        <v>Home</v>
      </c>
      <c r="G91">
        <v>1</v>
      </c>
      <c r="H91">
        <v>814.68</v>
      </c>
      <c r="I91" t="s">
        <v>16</v>
      </c>
      <c r="J91" t="s">
        <v>49</v>
      </c>
      <c r="K91">
        <v>814.68</v>
      </c>
      <c r="L91" s="3" t="str">
        <f t="shared" si="16"/>
        <v>correct</v>
      </c>
      <c r="M91" s="3">
        <f t="shared" si="14"/>
        <v>1</v>
      </c>
      <c r="N91" s="3">
        <f t="shared" si="18"/>
        <v>814.68</v>
      </c>
      <c r="O91" s="3">
        <f t="shared" si="19"/>
        <v>814.68</v>
      </c>
    </row>
    <row r="92" spans="1:15">
      <c r="A92">
        <v>190</v>
      </c>
      <c r="B92" t="s">
        <v>276</v>
      </c>
      <c r="C92" t="s">
        <v>277</v>
      </c>
      <c r="D92" s="1">
        <v>45837</v>
      </c>
      <c r="E92" t="s">
        <v>105</v>
      </c>
      <c r="F92" s="2" t="str">
        <f t="shared" si="17"/>
        <v>Home</v>
      </c>
      <c r="G92">
        <v>1</v>
      </c>
      <c r="H92">
        <v>920.37</v>
      </c>
      <c r="I92" t="s">
        <v>46</v>
      </c>
      <c r="J92" t="s">
        <v>24</v>
      </c>
      <c r="K92">
        <v>920.37</v>
      </c>
      <c r="L92" s="3" t="str">
        <f t="shared" si="16"/>
        <v>correct</v>
      </c>
      <c r="M92" s="3">
        <f t="shared" si="14"/>
        <v>1</v>
      </c>
      <c r="N92" s="3">
        <f t="shared" si="18"/>
        <v>920.37</v>
      </c>
      <c r="O92" s="3">
        <f t="shared" si="19"/>
        <v>920.37</v>
      </c>
    </row>
    <row r="93" spans="1:15">
      <c r="A93">
        <v>191</v>
      </c>
      <c r="B93" t="s">
        <v>278</v>
      </c>
      <c r="C93" t="s">
        <v>279</v>
      </c>
      <c r="D93" s="1">
        <v>45856</v>
      </c>
      <c r="E93" t="s">
        <v>73</v>
      </c>
      <c r="F93" s="2" t="str">
        <f t="shared" si="17"/>
        <v>Books</v>
      </c>
      <c r="G93">
        <v>2</v>
      </c>
      <c r="H93">
        <v>881.02</v>
      </c>
      <c r="I93" t="s">
        <v>16</v>
      </c>
      <c r="J93" t="s">
        <v>49</v>
      </c>
      <c r="K93">
        <v>1762.04</v>
      </c>
      <c r="L93" s="3" t="str">
        <f t="shared" si="16"/>
        <v>correct</v>
      </c>
      <c r="M93" s="3">
        <f t="shared" si="14"/>
        <v>2</v>
      </c>
      <c r="N93" s="3">
        <f t="shared" si="18"/>
        <v>881.02</v>
      </c>
      <c r="O93" s="3">
        <f t="shared" si="19"/>
        <v>1762.04</v>
      </c>
    </row>
    <row r="94" spans="1:15">
      <c r="A94">
        <v>192</v>
      </c>
      <c r="B94" t="s">
        <v>281</v>
      </c>
      <c r="C94" t="s">
        <v>282</v>
      </c>
      <c r="E94" t="s">
        <v>169</v>
      </c>
      <c r="F94" s="2" t="str">
        <f t="shared" si="17"/>
        <v>Clothing</v>
      </c>
      <c r="G94">
        <v>4</v>
      </c>
      <c r="H94">
        <v>203.63</v>
      </c>
      <c r="I94" t="s">
        <v>55</v>
      </c>
      <c r="J94" t="s">
        <v>49</v>
      </c>
      <c r="K94">
        <f>G94*H94</f>
        <v>814.52</v>
      </c>
      <c r="L94" s="3" t="str">
        <f t="shared" si="16"/>
        <v>correct</v>
      </c>
      <c r="M94" s="3">
        <f t="shared" si="14"/>
        <v>4</v>
      </c>
      <c r="N94" s="3">
        <f t="shared" si="18"/>
        <v>203.63</v>
      </c>
      <c r="O94" s="3">
        <f t="shared" si="19"/>
        <v>814.52</v>
      </c>
    </row>
    <row r="95" spans="1:15">
      <c r="A95">
        <v>193</v>
      </c>
      <c r="B95" t="s">
        <v>285</v>
      </c>
      <c r="C95" t="s">
        <v>286</v>
      </c>
      <c r="D95" s="1">
        <v>45814</v>
      </c>
      <c r="E95" t="s">
        <v>59</v>
      </c>
      <c r="F95" s="2" t="str">
        <f t="shared" si="17"/>
        <v>Sports</v>
      </c>
      <c r="H95">
        <v>522.02</v>
      </c>
      <c r="I95" t="s">
        <v>23</v>
      </c>
      <c r="J95" t="s">
        <v>17</v>
      </c>
      <c r="L95" s="3" t="str">
        <f t="shared" si="16"/>
        <v>correct</v>
      </c>
      <c r="M95" s="3"/>
      <c r="N95" s="3">
        <f t="shared" si="18"/>
        <v>522.02</v>
      </c>
      <c r="O95" s="3"/>
    </row>
    <row r="96" spans="1:15">
      <c r="A96">
        <v>194</v>
      </c>
      <c r="B96" t="s">
        <v>287</v>
      </c>
      <c r="C96" t="s">
        <v>288</v>
      </c>
      <c r="D96" s="1">
        <v>45698</v>
      </c>
      <c r="E96" t="s">
        <v>117</v>
      </c>
      <c r="F96" s="2" t="str">
        <f t="shared" si="17"/>
        <v>Home</v>
      </c>
      <c r="G96">
        <v>5</v>
      </c>
      <c r="H96">
        <v>944.54</v>
      </c>
      <c r="I96" t="s">
        <v>16</v>
      </c>
      <c r="J96" t="s">
        <v>49</v>
      </c>
      <c r="K96">
        <v>4722.7</v>
      </c>
      <c r="L96" s="3" t="str">
        <f t="shared" si="16"/>
        <v>correct</v>
      </c>
      <c r="M96" s="3">
        <f>ABS(G96)</f>
        <v>5</v>
      </c>
      <c r="N96" s="3">
        <f t="shared" si="18"/>
        <v>944.54</v>
      </c>
      <c r="O96" s="3">
        <f>M96*N96</f>
        <v>4722.7</v>
      </c>
    </row>
    <row r="97" spans="1:15">
      <c r="A97">
        <v>195</v>
      </c>
      <c r="B97" t="s">
        <v>289</v>
      </c>
      <c r="C97" t="s">
        <v>290</v>
      </c>
      <c r="D97" s="1">
        <v>45827</v>
      </c>
      <c r="E97" t="s">
        <v>39</v>
      </c>
      <c r="F97" s="2" t="str">
        <f t="shared" si="17"/>
        <v>Books</v>
      </c>
      <c r="G97">
        <v>5</v>
      </c>
      <c r="H97">
        <v>817.46</v>
      </c>
      <c r="I97" t="s">
        <v>16</v>
      </c>
      <c r="J97" t="s">
        <v>49</v>
      </c>
      <c r="K97">
        <v>4087.3</v>
      </c>
      <c r="L97" s="3" t="str">
        <f t="shared" si="16"/>
        <v>correct</v>
      </c>
      <c r="M97" s="3">
        <f>ABS(G97)</f>
        <v>5</v>
      </c>
      <c r="N97" s="3">
        <f t="shared" si="18"/>
        <v>817.46</v>
      </c>
      <c r="O97" s="3">
        <f>M97*N97</f>
        <v>4087.3</v>
      </c>
    </row>
    <row r="98" spans="1:15">
      <c r="A98">
        <v>196</v>
      </c>
      <c r="B98" t="s">
        <v>292</v>
      </c>
      <c r="C98" t="s">
        <v>293</v>
      </c>
      <c r="D98" s="1">
        <v>45649</v>
      </c>
      <c r="E98" t="s">
        <v>105</v>
      </c>
      <c r="F98" s="2" t="str">
        <f t="shared" si="17"/>
        <v>Home</v>
      </c>
      <c r="I98" t="s">
        <v>23</v>
      </c>
      <c r="J98" t="s">
        <v>30</v>
      </c>
      <c r="L98" s="3" t="str">
        <f t="shared" si="16"/>
        <v>correct</v>
      </c>
      <c r="M98" s="3"/>
      <c r="N98" s="3"/>
      <c r="O98" s="3"/>
    </row>
    <row r="99" spans="1:15">
      <c r="A99">
        <v>197</v>
      </c>
      <c r="B99" t="s">
        <v>294</v>
      </c>
      <c r="C99" t="s">
        <v>295</v>
      </c>
      <c r="D99" s="1">
        <v>45831</v>
      </c>
      <c r="E99" t="s">
        <v>14</v>
      </c>
      <c r="F99" s="2" t="str">
        <f t="shared" si="17"/>
        <v>Home</v>
      </c>
      <c r="G99">
        <v>1</v>
      </c>
      <c r="H99">
        <v>160.16</v>
      </c>
      <c r="I99" t="s">
        <v>23</v>
      </c>
      <c r="J99" t="s">
        <v>43</v>
      </c>
      <c r="K99">
        <v>160.16</v>
      </c>
      <c r="L99" s="3" t="str">
        <f t="shared" si="16"/>
        <v>correct</v>
      </c>
      <c r="M99" s="3">
        <f>ABS(G99)</f>
        <v>1</v>
      </c>
      <c r="N99" s="3">
        <f>ABS(H99)</f>
        <v>160.16</v>
      </c>
      <c r="O99" s="3">
        <f>M99*N99</f>
        <v>160.16</v>
      </c>
    </row>
    <row r="100" spans="1:15">
      <c r="A100">
        <v>198</v>
      </c>
      <c r="B100" t="s">
        <v>297</v>
      </c>
      <c r="C100" t="s">
        <v>298</v>
      </c>
      <c r="D100" s="1">
        <v>45865</v>
      </c>
      <c r="E100" t="s">
        <v>105</v>
      </c>
      <c r="F100" s="2" t="str">
        <f t="shared" si="17"/>
        <v>Home</v>
      </c>
      <c r="G100">
        <v>2</v>
      </c>
      <c r="H100">
        <v>497.01</v>
      </c>
      <c r="I100" t="s">
        <v>16</v>
      </c>
      <c r="J100" t="s">
        <v>17</v>
      </c>
      <c r="K100">
        <v>994.02</v>
      </c>
      <c r="L100" s="3" t="str">
        <f t="shared" si="16"/>
        <v>correct</v>
      </c>
      <c r="M100" s="3">
        <f>ABS(G100)</f>
        <v>2</v>
      </c>
      <c r="N100" s="3">
        <f>ABS(H100)</f>
        <v>497.01</v>
      </c>
      <c r="O100" s="3">
        <f>M100*N100</f>
        <v>994.02</v>
      </c>
    </row>
    <row r="101" spans="1:15">
      <c r="A101">
        <v>199</v>
      </c>
      <c r="B101" t="s">
        <v>300</v>
      </c>
      <c r="C101" t="s">
        <v>301</v>
      </c>
      <c r="D101" s="1">
        <v>45679</v>
      </c>
      <c r="E101" t="s">
        <v>14</v>
      </c>
      <c r="F101" s="2" t="str">
        <f t="shared" si="17"/>
        <v>Home</v>
      </c>
      <c r="G101">
        <v>5</v>
      </c>
      <c r="H101">
        <v>372.28</v>
      </c>
      <c r="I101" t="s">
        <v>55</v>
      </c>
      <c r="J101" t="s">
        <v>17</v>
      </c>
      <c r="K101">
        <v>1861.4</v>
      </c>
      <c r="L101" s="3" t="str">
        <f t="shared" si="16"/>
        <v>correct</v>
      </c>
      <c r="M101" s="3">
        <f>ABS(G101)</f>
        <v>5</v>
      </c>
      <c r="N101" s="3">
        <f>ABS(H101)</f>
        <v>372.28</v>
      </c>
      <c r="O101" s="3">
        <f>M101*N101</f>
        <v>1861.4</v>
      </c>
    </row>
  </sheetData>
  <conditionalFormatting sqref="A$1:A$1048576">
    <cfRule type="duplicateValues" dxfId="1" priority="2"/>
  </conditionalFormatting>
  <conditionalFormatting sqref="A2:A101">
    <cfRule type="duplicateValues" dxfId="1" priority="1"/>
  </conditionalFormatting>
  <conditionalFormatting sqref="G2:G101">
    <cfRule type="cellIs" dxfId="2" priority="5" operator="lessThan">
      <formula>0</formula>
    </cfRule>
  </conditionalFormatting>
  <conditionalFormatting sqref="H2:H101">
    <cfRule type="cellIs" dxfId="2" priority="4" operator="lessThan">
      <formula>0</formula>
    </cfRule>
  </conditionalFormatting>
  <conditionalFormatting sqref="K2:K35 K37:K101">
    <cfRule type="cellIs" dxfId="2" priority="3" operator="lessThan">
      <formula>0</formula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pivot_tables</vt:lpstr>
      <vt:lpstr>Dashboard</vt:lpstr>
      <vt:lpstr>Cleaning_process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dhruvi Patel</cp:lastModifiedBy>
  <dcterms:created xsi:type="dcterms:W3CDTF">2026-05-21T05:28:00Z</dcterms:created>
  <dcterms:modified xsi:type="dcterms:W3CDTF">2026-05-27T13:23:02Z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DEAAFC2715374D19A9C46BFCFCFD8321_13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